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rmation" sheetId="1" state="visible" r:id="rId3"/>
    <sheet name="plates" sheetId="2" state="visible" r:id="rId4"/>
    <sheet name="sample_list" sheetId="3" state="visible" r:id="rId5"/>
    <sheet name="primer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<sst xmlns="http://schemas.openxmlformats.org/spreadsheetml/2006/main" count="3488" uniqueCount="400">
  <si>
    <t xml:space="preserve">Nanopore barcoding (ITS5-ITS4)</t>
  </si>
  <si>
    <r>
      <rPr>
        <sz val="10"/>
        <color rgb="FF2A6099"/>
        <rFont val="Arial"/>
        <family val="2"/>
        <charset val="1"/>
      </rPr>
      <t xml:space="preserve">Forward primer: </t>
    </r>
    <r>
      <rPr>
        <b val="true"/>
        <sz val="10"/>
        <color rgb="FF2A6099"/>
        <rFont val="Arial"/>
        <family val="2"/>
        <charset val="1"/>
      </rPr>
      <t xml:space="preserve">ITS5</t>
    </r>
    <r>
      <rPr>
        <sz val="10"/>
        <color rgb="FF2A6099"/>
        <rFont val="Arial"/>
        <family val="2"/>
        <charset val="1"/>
      </rPr>
      <t xml:space="preserve"> (GGAAGTAAAAGTCGTAACAAGG)</t>
    </r>
  </si>
  <si>
    <r>
      <rPr>
        <sz val="10"/>
        <color rgb="FF2A6099"/>
        <rFont val="Arial"/>
        <family val="2"/>
        <charset val="1"/>
      </rPr>
      <t xml:space="preserve">Reverse primer: </t>
    </r>
    <r>
      <rPr>
        <b val="true"/>
        <sz val="10"/>
        <color rgb="FF2A6099"/>
        <rFont val="Arial"/>
        <family val="2"/>
        <charset val="1"/>
      </rPr>
      <t xml:space="preserve">ITS4</t>
    </r>
    <r>
      <rPr>
        <sz val="10"/>
        <color rgb="FF2A6099"/>
        <rFont val="Arial"/>
        <family val="2"/>
        <charset val="1"/>
      </rPr>
      <t xml:space="preserve"> (TCCTCCGCTTATTGATATGC)</t>
    </r>
  </si>
  <si>
    <t xml:space="preserve">Sample index length: 9 bp | Combinatorial indexing max. 40 x 36 primers → max. 15 plates</t>
  </si>
  <si>
    <t xml:space="preserve">These primers are suitable for most fungi</t>
  </si>
  <si>
    <t xml:space="preserve">PCR</t>
  </si>
  <si>
    <t xml:space="preserve">Example PCR mix using GoTaq G2 Master Mix</t>
  </si>
  <si>
    <t xml:space="preserve">Make sure to record the primer plate/DNA plate</t>
  </si>
  <si>
    <t xml:space="preserve">Reactions</t>
  </si>
  <si>
    <t xml:space="preserve">original conc.</t>
  </si>
  <si>
    <t xml:space="preserve">target conc.</t>
  </si>
  <si>
    <t xml:space="preserve">one reaction</t>
  </si>
  <si>
    <t xml:space="preserve">4 plates: 442 rxn</t>
  </si>
  <si>
    <t xml:space="preserve">Cycling</t>
  </si>
  <si>
    <t xml:space="preserve">Temperature</t>
  </si>
  <si>
    <t xml:space="preserve">Time</t>
  </si>
  <si>
    <t xml:space="preserve">combinations that you used.</t>
  </si>
  <si>
    <t xml:space="preserve">Master Mix</t>
  </si>
  <si>
    <t xml:space="preserve">= 4 x 96 + 15%</t>
  </si>
  <si>
    <t xml:space="preserve">Initial denat.</t>
  </si>
  <si>
    <t xml:space="preserve">95 °C</t>
  </si>
  <si>
    <t xml:space="preserve">2 min</t>
  </si>
  <si>
    <t xml:space="preserve">Never use the same primer plate twice within the</t>
  </si>
  <si>
    <t xml:space="preserve">Primer mix</t>
  </si>
  <si>
    <t xml:space="preserve">Denaturation</t>
  </si>
  <si>
    <t xml:space="preserve">30 s</t>
  </si>
  <si>
    <t xml:space="preserve">same Nanopore run.</t>
  </si>
  <si>
    <t xml:space="preserve">DNA</t>
  </si>
  <si>
    <t xml:space="preserve">pre-dilute if necessary</t>
  </si>
  <si>
    <t xml:space="preserve">Annealing</t>
  </si>
  <si>
    <t xml:space="preserve">52 °C</t>
  </si>
  <si>
    <t xml:space="preserve">Consider adding PCR negative controls, as they will</t>
  </si>
  <si>
    <t xml:space="preserve">water</t>
  </si>
  <si>
    <t xml:space="preserve">Extension</t>
  </si>
  <si>
    <t xml:space="preserve">72 °C</t>
  </si>
  <si>
    <t xml:space="preserve">75 s</t>
  </si>
  <si>
    <t xml:space="preserve">help to identify PCR contamination.</t>
  </si>
  <si>
    <t xml:space="preserve">total</t>
  </si>
  <si>
    <t xml:space="preserve">Final extension</t>
  </si>
  <si>
    <t xml:space="preserve">5 min</t>
  </si>
  <si>
    <r>
      <rPr>
        <b val="true"/>
        <sz val="10"/>
        <rFont val="Arial"/>
        <family val="2"/>
        <charset val="1"/>
      </rPr>
      <t xml:space="preserve">~36 cycles</t>
    </r>
    <r>
      <rPr>
        <sz val="10"/>
        <rFont val="Arial"/>
        <family val="2"/>
        <charset val="1"/>
      </rPr>
      <t xml:space="preserve"> (do enough cycles, at least part of samples should reach stationary phase of PCR)</t>
    </r>
  </si>
  <si>
    <r>
      <rPr>
        <sz val="10"/>
        <rFont val="Arial"/>
        <family val="2"/>
        <charset val="1"/>
      </rPr>
      <t xml:space="preserve">Proceed with </t>
    </r>
    <r>
      <rPr>
        <b val="true"/>
        <sz val="10"/>
        <rFont val="Arial"/>
        <family val="2"/>
        <charset val="1"/>
      </rPr>
      <t xml:space="preserve">pooling, library preparation</t>
    </r>
    <r>
      <rPr>
        <sz val="10"/>
        <rFont val="Arial"/>
        <family val="2"/>
        <charset val="1"/>
      </rPr>
      <t xml:space="preserve"> and sequencing according to separate instructions (…)</t>
    </r>
  </si>
  <si>
    <t xml:space="preserve">The final concentration should be somehow similar across a Nanopore run</t>
  </si>
  <si>
    <t xml:space="preserve">Prepare this metadata sheet</t>
  </si>
  <si>
    <t xml:space="preserve">2)</t>
  </si>
  <si>
    <r>
      <rPr>
        <sz val="10"/>
        <rFont val="Arial"/>
        <family val="2"/>
        <charset val="1"/>
      </rPr>
      <t xml:space="preserve">Add the </t>
    </r>
    <r>
      <rPr>
        <b val="true"/>
        <sz val="10"/>
        <rFont val="Arial"/>
        <family val="2"/>
        <charset val="1"/>
      </rPr>
      <t xml:space="preserve">sample names:</t>
    </r>
  </si>
  <si>
    <r>
      <rPr>
        <sz val="10"/>
        <rFont val="Arial"/>
        <family val="2"/>
        <charset val="1"/>
      </rPr>
      <t xml:space="preserve">- insert in the </t>
    </r>
    <r>
      <rPr>
        <sz val="10"/>
        <color rgb="FFEA7500"/>
        <rFont val="Arial"/>
        <family val="2"/>
        <charset val="1"/>
      </rPr>
      <t xml:space="preserve">plates</t>
    </r>
    <r>
      <rPr>
        <sz val="10"/>
        <rFont val="Arial"/>
        <family val="2"/>
        <charset val="1"/>
      </rPr>
      <t xml:space="preserve"> sheet if your samples are in the plate layout</t>
    </r>
  </si>
  <si>
    <r>
      <rPr>
        <sz val="10"/>
        <rFont val="Arial"/>
        <family val="2"/>
        <charset val="1"/>
      </rPr>
      <t xml:space="preserve">  (samples are automatically found in the</t>
    </r>
    <r>
      <rPr>
        <sz val="10"/>
        <color rgb="FF2A6099"/>
        <rFont val="Arial"/>
        <family val="2"/>
        <charset val="1"/>
      </rPr>
      <t xml:space="preserve"> sample_list </t>
    </r>
    <r>
      <rPr>
        <sz val="10"/>
        <rFont val="Arial"/>
        <family val="2"/>
        <charset val="1"/>
      </rPr>
      <t xml:space="preserve">sheet)</t>
    </r>
  </si>
  <si>
    <r>
      <rPr>
        <sz val="10"/>
        <rFont val="Arial"/>
        <family val="2"/>
        <charset val="1"/>
      </rPr>
      <t xml:space="preserve">- insert in the </t>
    </r>
    <r>
      <rPr>
        <sz val="10"/>
        <color rgb="FF2A6099"/>
        <rFont val="Arial"/>
        <family val="2"/>
        <charset val="1"/>
      </rPr>
      <t xml:space="preserve">sample_list</t>
    </r>
    <r>
      <rPr>
        <sz val="10"/>
        <rFont val="Arial"/>
        <family val="2"/>
        <charset val="1"/>
      </rPr>
      <t xml:space="preserve"> sheet (</t>
    </r>
    <r>
      <rPr>
        <i val="true"/>
        <sz val="10"/>
        <rFont val="Arial"/>
        <family val="2"/>
        <charset val="1"/>
      </rPr>
      <t xml:space="preserve">sample</t>
    </r>
    <r>
      <rPr>
        <sz val="10"/>
        <rFont val="Arial"/>
        <family val="2"/>
        <charset val="1"/>
      </rPr>
      <t xml:space="preserve"> column) if your sample names are associated</t>
    </r>
  </si>
  <si>
    <t xml:space="preserve">  with a well coordinate (use VLOOKUP if not in order)</t>
  </si>
  <si>
    <t xml:space="preserve">3)</t>
  </si>
  <si>
    <r>
      <rPr>
        <sz val="10"/>
        <rFont val="Arial"/>
        <family val="2"/>
        <charset val="1"/>
      </rPr>
      <t xml:space="preserve">Complete </t>
    </r>
    <r>
      <rPr>
        <sz val="10"/>
        <color rgb="FF2A6099"/>
        <rFont val="Arial"/>
        <family val="2"/>
        <charset val="1"/>
      </rPr>
      <t xml:space="preserve">sample_list:</t>
    </r>
  </si>
  <si>
    <r>
      <rPr>
        <b val="true"/>
        <sz val="10"/>
        <rFont val="Arial"/>
        <family val="2"/>
        <charset val="1"/>
      </rPr>
      <t xml:space="preserve">taxon </t>
    </r>
    <r>
      <rPr>
        <sz val="10"/>
        <rFont val="Arial"/>
        <family val="2"/>
        <charset val="1"/>
      </rPr>
      <t xml:space="preserve">may contain taxonomic names (known or putative species name, Genus sp., etc.)</t>
    </r>
  </si>
  <si>
    <t xml:space="preserve">(optional)</t>
  </si>
  <si>
    <t xml:space="preserve">(e.g. join on sample name with VLOOKUP)</t>
  </si>
  <si>
    <t xml:space="preserve">These will be compared to automatic sequence-based taxonomy assignments, to recognize contamination</t>
  </si>
  <si>
    <t xml:space="preserve">and/or highlight other problems (wrong identification, preparation errors)</t>
  </si>
  <si>
    <r>
      <rPr>
        <b val="true"/>
        <sz val="10"/>
        <rFont val="Arial"/>
        <family val="2"/>
        <charset val="1"/>
      </rPr>
      <t xml:space="preserve">'known sequence'</t>
    </r>
    <r>
      <rPr>
        <sz val="10"/>
        <rFont val="Arial"/>
        <family val="2"/>
        <charset val="1"/>
      </rPr>
      <t xml:space="preserve"> may contain already known sequences (e.g. from Sanger sequencing)</t>
    </r>
  </si>
  <si>
    <t xml:space="preserve">These will be compared to the Nanopore sequences</t>
  </si>
  <si>
    <r>
      <rPr>
        <b val="true"/>
        <sz val="10"/>
        <rFont val="Arial"/>
        <family val="2"/>
        <charset val="1"/>
      </rPr>
      <t xml:space="preserve">'sample type' </t>
    </r>
    <r>
      <rPr>
        <sz val="10"/>
        <rFont val="Arial"/>
        <family val="2"/>
        <charset val="1"/>
      </rPr>
      <t xml:space="preserve">can be helpful to distinguish control samples (positive or negative)</t>
    </r>
  </si>
  <si>
    <t xml:space="preserve">from “real” samples</t>
  </si>
  <si>
    <t xml:space="preserve">This will show up in the final Excel report and in diagnostic plots</t>
  </si>
  <si>
    <t xml:space="preserve">4)</t>
  </si>
  <si>
    <r>
      <rPr>
        <sz val="10"/>
        <rFont val="Arial"/>
        <family val="2"/>
        <charset val="1"/>
      </rPr>
      <t xml:space="preserve">Place a copy of this Excel file as </t>
    </r>
    <r>
      <rPr>
        <b val="true"/>
        <sz val="10"/>
        <rFont val="Arial"/>
        <family val="2"/>
        <charset val="1"/>
      </rPr>
      <t xml:space="preserve">meta.xlsx</t>
    </r>
    <r>
      <rPr>
        <sz val="10"/>
        <rFont val="Arial"/>
        <family val="2"/>
        <charset val="1"/>
      </rPr>
      <t xml:space="preserve"> in the</t>
    </r>
    <r>
      <rPr>
        <b val="true"/>
        <sz val="10"/>
        <rFont val="Arial"/>
        <family val="2"/>
        <charset val="1"/>
      </rPr>
      <t xml:space="preserve"> run directory</t>
    </r>
  </si>
  <si>
    <t xml:space="preserve">If pooling several primer combinations (different loci) in the same Nanopore run,</t>
  </si>
  <si>
    <t xml:space="preserve">prepare the Excel metadata sheets separately for each amplicon, then combine</t>
  </si>
  <si>
    <r>
      <rPr>
        <sz val="10"/>
        <rFont val="Arial"/>
        <family val="2"/>
        <charset val="1"/>
      </rPr>
      <t xml:space="preserve">the content of both the </t>
    </r>
    <r>
      <rPr>
        <sz val="10"/>
        <color rgb="FF2A6099"/>
        <rFont val="Arial"/>
        <family val="2"/>
        <charset val="1"/>
      </rPr>
      <t xml:space="preserve">sample_list</t>
    </r>
    <r>
      <rPr>
        <sz val="10"/>
        <rFont val="Arial"/>
        <family val="2"/>
        <charset val="1"/>
      </rPr>
      <t xml:space="preserve"> and </t>
    </r>
    <r>
      <rPr>
        <sz val="10"/>
        <color rgb="FF800080"/>
        <rFont val="Arial"/>
        <family val="2"/>
        <charset val="1"/>
      </rPr>
      <t xml:space="preserve">primers</t>
    </r>
    <r>
      <rPr>
        <sz val="10"/>
        <rFont val="Arial"/>
        <family val="2"/>
        <charset val="1"/>
      </rPr>
      <t xml:space="preserve"> workbooks in a final</t>
    </r>
    <r>
      <rPr>
        <i val="true"/>
        <sz val="10"/>
        <rFont val="Arial"/>
        <family val="2"/>
        <charset val="1"/>
      </rPr>
      <t xml:space="preserve"> meta.xlsx</t>
    </r>
  </si>
  <si>
    <t xml:space="preserve">sheet (copy by value).</t>
  </si>
  <si>
    <r>
      <rPr>
        <sz val="10"/>
        <color rgb="FF666666"/>
        <rFont val="Arial"/>
        <family val="2"/>
        <charset val="1"/>
      </rPr>
      <t xml:space="preserve">Unused barcode combinations (empty sample column) are not strictly needed in </t>
    </r>
    <r>
      <rPr>
        <i val="true"/>
        <sz val="10"/>
        <color rgb="FF666666"/>
        <rFont val="Arial"/>
        <family val="2"/>
        <charset val="1"/>
      </rPr>
      <t xml:space="preserve">sample_list.</t>
    </r>
  </si>
  <si>
    <t xml:space="preserve">Run the analysis</t>
  </si>
  <si>
    <t xml:space="preserve">For details see:</t>
  </si>
  <si>
    <t xml:space="preserve">https://github.com/markschl/DadaNanoBC</t>
  </si>
  <si>
    <t xml:space="preserve">Paste sample names for the corresponding DNA plates → they will appear in "sample_list"</t>
  </si>
  <si>
    <t xml:space="preserve">rows: barcoded forward primers (ITS5)</t>
  </si>
  <si>
    <t xml:space="preserve">bc019</t>
  </si>
  <si>
    <t xml:space="preserve">bc062</t>
  </si>
  <si>
    <t xml:space="preserve">bc065</t>
  </si>
  <si>
    <t xml:space="preserve">bc082</t>
  </si>
  <si>
    <t xml:space="preserve">bc120</t>
  </si>
  <si>
    <t xml:space="preserve">bc139</t>
  </si>
  <si>
    <t xml:space="preserve">bc145</t>
  </si>
  <si>
    <t xml:space="preserve">bc150</t>
  </si>
  <si>
    <t xml:space="preserve">bc183</t>
  </si>
  <si>
    <t xml:space="preserve">bc218</t>
  </si>
  <si>
    <t xml:space="preserve">bc219</t>
  </si>
  <si>
    <t xml:space="preserve">bc245</t>
  </si>
  <si>
    <t xml:space="preserve">columns: barcoded reverse primers (ITS4)</t>
  </si>
  <si>
    <t xml:space="preserve">Plate</t>
  </si>
  <si>
    <t xml:space="preserve">bc018</t>
  </si>
  <si>
    <t xml:space="preserve">A</t>
  </si>
  <si>
    <t xml:space="preserve">bc060</t>
  </si>
  <si>
    <t xml:space="preserve">B</t>
  </si>
  <si>
    <t xml:space="preserve">bc061</t>
  </si>
  <si>
    <t xml:space="preserve">C</t>
  </si>
  <si>
    <t xml:space="preserve">D</t>
  </si>
  <si>
    <t xml:space="preserve">bc095</t>
  </si>
  <si>
    <t xml:space="preserve">E</t>
  </si>
  <si>
    <t xml:space="preserve">F</t>
  </si>
  <si>
    <t xml:space="preserve">bc148</t>
  </si>
  <si>
    <t xml:space="preserve">G</t>
  </si>
  <si>
    <t xml:space="preserve">bc157</t>
  </si>
  <si>
    <t xml:space="preserve">H</t>
  </si>
  <si>
    <t xml:space="preserve">bc168</t>
  </si>
  <si>
    <t xml:space="preserve">bc192</t>
  </si>
  <si>
    <t xml:space="preserve">bc205</t>
  </si>
  <si>
    <t xml:space="preserve">bc220</t>
  </si>
  <si>
    <t xml:space="preserve">bc258</t>
  </si>
  <si>
    <t xml:space="preserve">bc264</t>
  </si>
  <si>
    <t xml:space="preserve">bc272</t>
  </si>
  <si>
    <t xml:space="preserve">bc277</t>
  </si>
  <si>
    <t xml:space="preserve">bc282</t>
  </si>
  <si>
    <t xml:space="preserve">bc286</t>
  </si>
  <si>
    <t xml:space="preserve">bc298</t>
  </si>
  <si>
    <t xml:space="preserve">bc314</t>
  </si>
  <si>
    <t xml:space="preserve">bc321</t>
  </si>
  <si>
    <t xml:space="preserve">bc324</t>
  </si>
  <si>
    <t xml:space="preserve">bc327</t>
  </si>
  <si>
    <t xml:space="preserve">bc357</t>
  </si>
  <si>
    <t xml:space="preserve">bc361</t>
  </si>
  <si>
    <t xml:space="preserve">bc362</t>
  </si>
  <si>
    <t xml:space="preserve">bc368</t>
  </si>
  <si>
    <t xml:space="preserve">bc370</t>
  </si>
  <si>
    <t xml:space="preserve">bc377</t>
  </si>
  <si>
    <t xml:space="preserve">bc406</t>
  </si>
  <si>
    <t xml:space="preserve">bc411</t>
  </si>
  <si>
    <t xml:space="preserve">bc418</t>
  </si>
  <si>
    <t xml:space="preserve">bc449</t>
  </si>
  <si>
    <t xml:space="preserve">bc462</t>
  </si>
  <si>
    <t xml:space="preserve">bc485</t>
  </si>
  <si>
    <t xml:space="preserve">bc486</t>
  </si>
  <si>
    <t xml:space="preserve">bc494</t>
  </si>
  <si>
    <t xml:space="preserve">bc538</t>
  </si>
  <si>
    <t xml:space="preserve">bc247</t>
  </si>
  <si>
    <t xml:space="preserve">bc310</t>
  </si>
  <si>
    <t xml:space="preserve">bc336</t>
  </si>
  <si>
    <t xml:space="preserve">bc365</t>
  </si>
  <si>
    <t xml:space="preserve">bc387</t>
  </si>
  <si>
    <t xml:space="preserve">bc388</t>
  </si>
  <si>
    <t xml:space="preserve">bc396</t>
  </si>
  <si>
    <t xml:space="preserve">bc397</t>
  </si>
  <si>
    <t xml:space="preserve">bc413</t>
  </si>
  <si>
    <t xml:space="preserve">bc414</t>
  </si>
  <si>
    <t xml:space="preserve">bc436</t>
  </si>
  <si>
    <t xml:space="preserve">bc471</t>
  </si>
  <si>
    <t xml:space="preserve">bc488</t>
  </si>
  <si>
    <t xml:space="preserve">bc497</t>
  </si>
  <si>
    <t xml:space="preserve">bc500</t>
  </si>
  <si>
    <t xml:space="preserve">bc508</t>
  </si>
  <si>
    <t xml:space="preserve">bc516</t>
  </si>
  <si>
    <t xml:space="preserve">plate</t>
  </si>
  <si>
    <t xml:space="preserve">well</t>
  </si>
  <si>
    <t xml:space="preserve">amplicon</t>
  </si>
  <si>
    <t xml:space="preserve">indexes</t>
  </si>
  <si>
    <t xml:space="preserve">sample</t>
  </si>
  <si>
    <t xml:space="preserve">sample type</t>
  </si>
  <si>
    <t xml:space="preserve">taxon</t>
  </si>
  <si>
    <t xml:space="preserve">known sequence</t>
  </si>
  <si>
    <t xml:space="preserve">A01</t>
  </si>
  <si>
    <t xml:space="preserve">ITS5-ITS4</t>
  </si>
  <si>
    <t xml:space="preserve">B01</t>
  </si>
  <si>
    <t xml:space="preserve">C01</t>
  </si>
  <si>
    <t xml:space="preserve">D01</t>
  </si>
  <si>
    <t xml:space="preserve">E01</t>
  </si>
  <si>
    <t xml:space="preserve">F01</t>
  </si>
  <si>
    <t xml:space="preserve">G01</t>
  </si>
  <si>
    <t xml:space="preserve">H01</t>
  </si>
  <si>
    <t xml:space="preserve">A02</t>
  </si>
  <si>
    <t xml:space="preserve">B02</t>
  </si>
  <si>
    <t xml:space="preserve">C02</t>
  </si>
  <si>
    <t xml:space="preserve">D02</t>
  </si>
  <si>
    <t xml:space="preserve">E02</t>
  </si>
  <si>
    <t xml:space="preserve">F02</t>
  </si>
  <si>
    <t xml:space="preserve">G02</t>
  </si>
  <si>
    <t xml:space="preserve">H02</t>
  </si>
  <si>
    <t xml:space="preserve">A03</t>
  </si>
  <si>
    <t xml:space="preserve">B03</t>
  </si>
  <si>
    <t xml:space="preserve">C03</t>
  </si>
  <si>
    <t xml:space="preserve">D03</t>
  </si>
  <si>
    <t xml:space="preserve">E03</t>
  </si>
  <si>
    <t xml:space="preserve">F03</t>
  </si>
  <si>
    <t xml:space="preserve">G03</t>
  </si>
  <si>
    <t xml:space="preserve">H03</t>
  </si>
  <si>
    <t xml:space="preserve">A04</t>
  </si>
  <si>
    <t xml:space="preserve">B04</t>
  </si>
  <si>
    <t xml:space="preserve">C04</t>
  </si>
  <si>
    <t xml:space="preserve">D04</t>
  </si>
  <si>
    <t xml:space="preserve">E04</t>
  </si>
  <si>
    <t xml:space="preserve">F04</t>
  </si>
  <si>
    <t xml:space="preserve">G04</t>
  </si>
  <si>
    <t xml:space="preserve">H04</t>
  </si>
  <si>
    <t xml:space="preserve">A05</t>
  </si>
  <si>
    <t xml:space="preserve">B05</t>
  </si>
  <si>
    <t xml:space="preserve">C05</t>
  </si>
  <si>
    <t xml:space="preserve">D05</t>
  </si>
  <si>
    <t xml:space="preserve">E05</t>
  </si>
  <si>
    <t xml:space="preserve">F05</t>
  </si>
  <si>
    <t xml:space="preserve">G05</t>
  </si>
  <si>
    <t xml:space="preserve">H05</t>
  </si>
  <si>
    <t xml:space="preserve">A06</t>
  </si>
  <si>
    <t xml:space="preserve">B06</t>
  </si>
  <si>
    <t xml:space="preserve">C06</t>
  </si>
  <si>
    <t xml:space="preserve">D06</t>
  </si>
  <si>
    <t xml:space="preserve">E06</t>
  </si>
  <si>
    <t xml:space="preserve">F06</t>
  </si>
  <si>
    <t xml:space="preserve">G06</t>
  </si>
  <si>
    <t xml:space="preserve">H06</t>
  </si>
  <si>
    <t xml:space="preserve">A07</t>
  </si>
  <si>
    <t xml:space="preserve">B07</t>
  </si>
  <si>
    <t xml:space="preserve">C07</t>
  </si>
  <si>
    <t xml:space="preserve">D07</t>
  </si>
  <si>
    <t xml:space="preserve">E07</t>
  </si>
  <si>
    <t xml:space="preserve">F07</t>
  </si>
  <si>
    <t xml:space="preserve">G07</t>
  </si>
  <si>
    <t xml:space="preserve">H07</t>
  </si>
  <si>
    <t xml:space="preserve">A08</t>
  </si>
  <si>
    <t xml:space="preserve">B08</t>
  </si>
  <si>
    <t xml:space="preserve">C08</t>
  </si>
  <si>
    <t xml:space="preserve">D08</t>
  </si>
  <si>
    <t xml:space="preserve">E08</t>
  </si>
  <si>
    <t xml:space="preserve">F08</t>
  </si>
  <si>
    <t xml:space="preserve">G08</t>
  </si>
  <si>
    <t xml:space="preserve">H08</t>
  </si>
  <si>
    <t xml:space="preserve">A09</t>
  </si>
  <si>
    <t xml:space="preserve">B09</t>
  </si>
  <si>
    <t xml:space="preserve">C09</t>
  </si>
  <si>
    <t xml:space="preserve">D09</t>
  </si>
  <si>
    <t xml:space="preserve">E09</t>
  </si>
  <si>
    <t xml:space="preserve">F09</t>
  </si>
  <si>
    <t xml:space="preserve">G09</t>
  </si>
  <si>
    <t xml:space="preserve">H09</t>
  </si>
  <si>
    <t xml:space="preserve">A10</t>
  </si>
  <si>
    <t xml:space="preserve">B10</t>
  </si>
  <si>
    <t xml:space="preserve">C10</t>
  </si>
  <si>
    <t xml:space="preserve">D10</t>
  </si>
  <si>
    <t xml:space="preserve">E10</t>
  </si>
  <si>
    <t xml:space="preserve">F10</t>
  </si>
  <si>
    <t xml:space="preserve">G10</t>
  </si>
  <si>
    <t xml:space="preserve">H10</t>
  </si>
  <si>
    <t xml:space="preserve">A11</t>
  </si>
  <si>
    <t xml:space="preserve">B11</t>
  </si>
  <si>
    <t xml:space="preserve">C11</t>
  </si>
  <si>
    <t xml:space="preserve">D11</t>
  </si>
  <si>
    <t xml:space="preserve">E11</t>
  </si>
  <si>
    <t xml:space="preserve">F11</t>
  </si>
  <si>
    <t xml:space="preserve">G11</t>
  </si>
  <si>
    <t xml:space="preserve">H11</t>
  </si>
  <si>
    <t xml:space="preserve">A12</t>
  </si>
  <si>
    <t xml:space="preserve">B12</t>
  </si>
  <si>
    <t xml:space="preserve">C12</t>
  </si>
  <si>
    <t xml:space="preserve">D12</t>
  </si>
  <si>
    <t xml:space="preserve">E12</t>
  </si>
  <si>
    <t xml:space="preserve">F12</t>
  </si>
  <si>
    <t xml:space="preserve">G12</t>
  </si>
  <si>
    <t xml:space="preserve">H12</t>
  </si>
  <si>
    <t xml:space="preserve">primer-index</t>
  </si>
  <si>
    <t xml:space="preserve">index_seq</t>
  </si>
  <si>
    <t xml:space="preserve">primer_seq</t>
  </si>
  <si>
    <t xml:space="preserve">ITS5-bc018</t>
  </si>
  <si>
    <t xml:space="preserve">AACGTCACT</t>
  </si>
  <si>
    <t xml:space="preserve">GGAAGTAAAAGTCGTAACAAGG</t>
  </si>
  <si>
    <t xml:space="preserve">ITS5-bc060</t>
  </si>
  <si>
    <t xml:space="preserve">ACACTCTAG</t>
  </si>
  <si>
    <t xml:space="preserve">ITS5-bc061</t>
  </si>
  <si>
    <t xml:space="preserve">ACAGATGAG</t>
  </si>
  <si>
    <t xml:space="preserve">ITS5-bc062</t>
  </si>
  <si>
    <t xml:space="preserve">ACAGTCCTT</t>
  </si>
  <si>
    <t xml:space="preserve">ITS5-bc095</t>
  </si>
  <si>
    <t xml:space="preserve">ACTCCACAT</t>
  </si>
  <si>
    <t xml:space="preserve">ITS5-bc139</t>
  </si>
  <si>
    <t xml:space="preserve">AGTCGCTAT</t>
  </si>
  <si>
    <t xml:space="preserve">ITS5-bc148</t>
  </si>
  <si>
    <t xml:space="preserve">ATACCGTCG</t>
  </si>
  <si>
    <t xml:space="preserve">ITS5-bc157</t>
  </si>
  <si>
    <t xml:space="preserve">ATCGCAGAG</t>
  </si>
  <si>
    <t xml:space="preserve">ITS5-bc168</t>
  </si>
  <si>
    <t xml:space="preserve">ATGTGCAAG</t>
  </si>
  <si>
    <t xml:space="preserve">ITS5-bc183</t>
  </si>
  <si>
    <t xml:space="preserve">CAAGTCTGG</t>
  </si>
  <si>
    <t xml:space="preserve">ITS5-bc192</t>
  </si>
  <si>
    <t xml:space="preserve">CACCGATTG</t>
  </si>
  <si>
    <t xml:space="preserve">ITS5-bc205</t>
  </si>
  <si>
    <t xml:space="preserve">CAGGTAGAG</t>
  </si>
  <si>
    <t xml:space="preserve">ITS5-bc219</t>
  </si>
  <si>
    <t xml:space="preserve">CATTATCCG</t>
  </si>
  <si>
    <t xml:space="preserve">ITS5-bc220</t>
  </si>
  <si>
    <t xml:space="preserve">CATTCCAAG</t>
  </si>
  <si>
    <t xml:space="preserve">ITS5-bc258</t>
  </si>
  <si>
    <t xml:space="preserve">CCTTGCCAT</t>
  </si>
  <si>
    <t xml:space="preserve">ITS5-bc264</t>
  </si>
  <si>
    <t xml:space="preserve">CGAGATGCT</t>
  </si>
  <si>
    <t xml:space="preserve">ITS5-bc272</t>
  </si>
  <si>
    <t xml:space="preserve">CGCCATCTT</t>
  </si>
  <si>
    <t xml:space="preserve">ITS5-bc277</t>
  </si>
  <si>
    <t xml:space="preserve">CGCTTCGTT</t>
  </si>
  <si>
    <t xml:space="preserve">ITS5-bc282</t>
  </si>
  <si>
    <t xml:space="preserve">CGGTACTAG</t>
  </si>
  <si>
    <t xml:space="preserve">ITS5-bc286</t>
  </si>
  <si>
    <t xml:space="preserve">CGTCATAAG</t>
  </si>
  <si>
    <t xml:space="preserve">ITS5-bc298</t>
  </si>
  <si>
    <t xml:space="preserve">CTACTGGTG</t>
  </si>
  <si>
    <t xml:space="preserve">ITS5-bc314</t>
  </si>
  <si>
    <t xml:space="preserve">CTCTTATCG</t>
  </si>
  <si>
    <t xml:space="preserve">ITS5-bc321</t>
  </si>
  <si>
    <t xml:space="preserve">CTGTCCGAT</t>
  </si>
  <si>
    <t xml:space="preserve">ITS5-bc324</t>
  </si>
  <si>
    <t xml:space="preserve">CTTAGAGAG</t>
  </si>
  <si>
    <t xml:space="preserve">ITS5-bc327</t>
  </si>
  <si>
    <t xml:space="preserve">CTTGACGTT</t>
  </si>
  <si>
    <t xml:space="preserve">ITS5-bc357</t>
  </si>
  <si>
    <t xml:space="preserve">GATACTTCG</t>
  </si>
  <si>
    <t xml:space="preserve">ITS5-bc361</t>
  </si>
  <si>
    <t xml:space="preserve">GATGGTAAG</t>
  </si>
  <si>
    <t xml:space="preserve">ITS5-bc362</t>
  </si>
  <si>
    <t xml:space="preserve">GATGTACTG</t>
  </si>
  <si>
    <t xml:space="preserve">ITS5-bc368</t>
  </si>
  <si>
    <t xml:space="preserve">GCACGTAAT</t>
  </si>
  <si>
    <t xml:space="preserve">ITS5-bc370</t>
  </si>
  <si>
    <t xml:space="preserve">GCAGAGGTT</t>
  </si>
  <si>
    <t xml:space="preserve">ITS5-bc377</t>
  </si>
  <si>
    <t xml:space="preserve">GCCTCATAT</t>
  </si>
  <si>
    <t xml:space="preserve">ITS5-bc406</t>
  </si>
  <si>
    <t xml:space="preserve">GGATTCATG</t>
  </si>
  <si>
    <t xml:space="preserve">ITS5-bc411</t>
  </si>
  <si>
    <t xml:space="preserve">GGTCTATGG</t>
  </si>
  <si>
    <t xml:space="preserve">ITS5-bc418</t>
  </si>
  <si>
    <t xml:space="preserve">GTAAGCCTG</t>
  </si>
  <si>
    <t xml:space="preserve">ITS5-bc449</t>
  </si>
  <si>
    <t xml:space="preserve">GTTCGTCCT</t>
  </si>
  <si>
    <t xml:space="preserve">ITS5-bc462</t>
  </si>
  <si>
    <t xml:space="preserve">TACGCATGG</t>
  </si>
  <si>
    <t xml:space="preserve">ITS5-bc485</t>
  </si>
  <si>
    <t xml:space="preserve">TCCACAATG</t>
  </si>
  <si>
    <t xml:space="preserve">ITS5-bc486</t>
  </si>
  <si>
    <t xml:space="preserve">TCCAGGTCT</t>
  </si>
  <si>
    <t xml:space="preserve">ITS5-bc494</t>
  </si>
  <si>
    <t xml:space="preserve">TCGAGTGAT</t>
  </si>
  <si>
    <t xml:space="preserve">ITS5-bc538</t>
  </si>
  <si>
    <t xml:space="preserve">TTAAGGTGG</t>
  </si>
  <si>
    <t xml:space="preserve">ITS4-bc019</t>
  </si>
  <si>
    <t xml:space="preserve">AACTCCGTA</t>
  </si>
  <si>
    <t xml:space="preserve">TCCTCCGCTTATTGATATGC</t>
  </si>
  <si>
    <t xml:space="preserve">ITS4-bc062</t>
  </si>
  <si>
    <t xml:space="preserve">ITS4-bc065</t>
  </si>
  <si>
    <t xml:space="preserve">ACATTGCCG</t>
  </si>
  <si>
    <t xml:space="preserve">ITS4-bc082</t>
  </si>
  <si>
    <t xml:space="preserve">ACGCAATCC</t>
  </si>
  <si>
    <t xml:space="preserve">ITS4-bc120</t>
  </si>
  <si>
    <t xml:space="preserve">AGCCGTAGA</t>
  </si>
  <si>
    <t xml:space="preserve">ITS4-bc139</t>
  </si>
  <si>
    <t xml:space="preserve">ITS4-bc145</t>
  </si>
  <si>
    <t xml:space="preserve">AGTTCTAGG</t>
  </si>
  <si>
    <t xml:space="preserve">ITS4-bc150</t>
  </si>
  <si>
    <t xml:space="preserve">ATAGGAAGG</t>
  </si>
  <si>
    <t xml:space="preserve">ITS4-bc183</t>
  </si>
  <si>
    <t xml:space="preserve">ITS4-bc218</t>
  </si>
  <si>
    <t xml:space="preserve">CATGTTGCC</t>
  </si>
  <si>
    <t xml:space="preserve">ITS4-bc219</t>
  </si>
  <si>
    <t xml:space="preserve">ITS4-bc245</t>
  </si>
  <si>
    <t xml:space="preserve">CCGTTCAGA</t>
  </si>
  <si>
    <t xml:space="preserve">ITS4-bc247</t>
  </si>
  <si>
    <t xml:space="preserve">CCTAAGACA</t>
  </si>
  <si>
    <t xml:space="preserve">ITS4-bc286</t>
  </si>
  <si>
    <t xml:space="preserve">ITS4-bc298</t>
  </si>
  <si>
    <t xml:space="preserve">ITS4-bc310</t>
  </si>
  <si>
    <t xml:space="preserve">CTCGCAATA</t>
  </si>
  <si>
    <t xml:space="preserve">ITS4-bc314</t>
  </si>
  <si>
    <t xml:space="preserve">ITS4-bc336</t>
  </si>
  <si>
    <t xml:space="preserve">GAAGTCGTA</t>
  </si>
  <si>
    <t xml:space="preserve">ITS4-bc365</t>
  </si>
  <si>
    <t xml:space="preserve">GATTGGTGC</t>
  </si>
  <si>
    <t xml:space="preserve">ITS4-bc370</t>
  </si>
  <si>
    <t xml:space="preserve">ITS4-bc387</t>
  </si>
  <si>
    <t xml:space="preserve">GCTAATCGC</t>
  </si>
  <si>
    <t xml:space="preserve">ITS4-bc388</t>
  </si>
  <si>
    <t xml:space="preserve">GCTATGTCC</t>
  </si>
  <si>
    <t xml:space="preserve">ITS4-bc396</t>
  </si>
  <si>
    <t xml:space="preserve">GGAACTAAC</t>
  </si>
  <si>
    <t xml:space="preserve">ITS4-bc397</t>
  </si>
  <si>
    <t xml:space="preserve">GGAAGAAGT</t>
  </si>
  <si>
    <t xml:space="preserve">ITS4-bc411</t>
  </si>
  <si>
    <t xml:space="preserve">ITS4-bc413</t>
  </si>
  <si>
    <t xml:space="preserve">GGTGACTTA</t>
  </si>
  <si>
    <t xml:space="preserve">ITS4-bc414</t>
  </si>
  <si>
    <t xml:space="preserve">GGTGTCAGT</t>
  </si>
  <si>
    <t xml:space="preserve">ITS4-bc418</t>
  </si>
  <si>
    <t xml:space="preserve">ITS4-bc436</t>
  </si>
  <si>
    <t xml:space="preserve">GTGAACAGA</t>
  </si>
  <si>
    <t xml:space="preserve">ITS4-bc471</t>
  </si>
  <si>
    <t xml:space="preserve">TAGGTTAGG</t>
  </si>
  <si>
    <t xml:space="preserve">ITS4-bc488</t>
  </si>
  <si>
    <t xml:space="preserve">TCCGTATCC</t>
  </si>
  <si>
    <t xml:space="preserve">ITS4-bc497</t>
  </si>
  <si>
    <t xml:space="preserve">TCGCTCCTA</t>
  </si>
  <si>
    <t xml:space="preserve">ITS4-bc500</t>
  </si>
  <si>
    <t xml:space="preserve">TCGTTAGTC</t>
  </si>
  <si>
    <t xml:space="preserve">ITS4-bc508</t>
  </si>
  <si>
    <t xml:space="preserve">TGAAGTGCC</t>
  </si>
  <si>
    <t xml:space="preserve">ITS4-bc516</t>
  </si>
  <si>
    <t xml:space="preserve">TGATGGTTC</t>
  </si>
  <si>
    <t xml:space="preserve">ITS4-bc538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</si>
</sst>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#&quot; rxn&quot;"/>
    <numFmt numFmtId="166" formatCode="0.#\x"/>
    <numFmt numFmtId="167" formatCode="0.#&quot; µl&quot;"/>
    <numFmt numFmtId="168" formatCode="0.#&quot; µM each&quot;"/>
    <numFmt numFmtId="169" formatCode="0.#&quot; µM&quot;"/>
    <numFmt numFmtId="170" formatCode="@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2A6099"/>
      <name val="Arial"/>
      <family val="2"/>
      <charset val="1"/>
    </font>
    <font>
      <b val="true"/>
      <sz val="10"/>
      <color rgb="FF2A6099"/>
      <name val="Arial"/>
      <family val="2"/>
      <charset val="1"/>
    </font>
    <font>
      <sz val="10"/>
      <color rgb="FF666666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808080"/>
      <name val="Arial"/>
      <family val="2"/>
      <charset val="1"/>
    </font>
    <font>
      <sz val="10"/>
      <color rgb="FFEA7500"/>
      <name val="Arial"/>
      <family val="2"/>
      <charset val="1"/>
    </font>
    <font>
      <i val="true"/>
      <sz val="10"/>
      <name val="Arial"/>
      <family val="2"/>
      <charset val="1"/>
    </font>
    <font>
      <sz val="10"/>
      <color rgb="FF800080"/>
      <name val="Arial"/>
      <family val="2"/>
      <charset val="1"/>
    </font>
    <font>
      <i val="true"/>
      <sz val="10"/>
      <color rgb="FF666666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sz val="10"/>
      <name val="Calibri"/>
      <family val="2"/>
      <charset val="1"/>
    </font>
    <font>
      <b val="true"/>
      <sz val="11"/>
      <color rgb="FFFFFFF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EA7500"/>
        <bgColor rgb="FFFF9900"/>
      </patternFill>
    </fill>
    <fill>
      <patternFill patternType="solid">
        <fgColor rgb="FF3465A4"/>
        <bgColor rgb="FF2A6099"/>
      </patternFill>
    </fill>
    <fill>
      <patternFill patternType="solid">
        <fgColor rgb="FFDDDDDD"/>
        <bgColor rgb="FFEEEEEE"/>
      </patternFill>
    </fill>
    <fill>
      <patternFill patternType="solid">
        <fgColor rgb="FFF5F5F5"/>
        <bgColor rgb="FFEEEEEE"/>
      </patternFill>
    </fill>
    <fill>
      <patternFill patternType="solid">
        <fgColor rgb="FFEEEEEE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D7"/>
      <rgbColor rgb="FFEEEEEE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BF00"/>
      <rgbColor rgb="FFFF9900"/>
      <rgbColor rgb="FFEA7500"/>
      <rgbColor rgb="FF666666"/>
      <rgbColor rgb="FFBF819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h.promega.com/-/media/files/resources/protocols/product-information-sheets/g/gotaq-g2-hot-start-green-master-mix-protocol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D7"/>
    <pageSetUpPr fitToPage="false"/>
  </sheetPr>
  <dimension ref="A2:P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02"/>
    <col collapsed="false" customWidth="false" hidden="false" outlineLevel="0" max="6" min="2" style="2" width="11.53"/>
    <col collapsed="false" customWidth="true" hidden="false" outlineLevel="0" max="7" min="7" style="2" width="10.35"/>
    <col collapsed="false" customWidth="true" hidden="false" outlineLevel="0" max="8" min="8" style="2" width="7.57"/>
    <col collapsed="false" customWidth="true" hidden="false" outlineLevel="0" max="9" min="9" style="2" width="8.72"/>
    <col collapsed="false" customWidth="true" hidden="false" outlineLevel="0" max="10" min="10" style="2" width="9.86"/>
    <col collapsed="false" customWidth="false" hidden="false" outlineLevel="0" max="12" min="11" style="2" width="11.53"/>
    <col collapsed="false" customWidth="true" hidden="false" outlineLevel="0" max="13" min="13" style="2" width="17.21"/>
    <col collapsed="false" customWidth="false" hidden="false" outlineLevel="0" max="16384" min="14" style="2" width="11.53"/>
  </cols>
  <sheetData>
    <row r="2" customFormat="false" ht="17.35" hidden="false" customHeight="false" outlineLevel="0" collapsed="false">
      <c r="B2" s="3" t="s">
        <v>0</v>
      </c>
    </row>
    <row r="3" customFormat="false" ht="15" hidden="false" customHeight="false" outlineLevel="0" collapsed="false">
      <c r="B3" s="4"/>
    </row>
    <row r="4" customFormat="false" ht="12.8" hidden="false" customHeight="false" outlineLevel="0" collapsed="false">
      <c r="B4" s="5" t="s">
        <v>1</v>
      </c>
    </row>
    <row r="5" customFormat="false" ht="12.8" hidden="false" customHeight="false" outlineLevel="0" collapsed="false">
      <c r="B5" s="5" t="s">
        <v>2</v>
      </c>
    </row>
    <row r="6" customFormat="false" ht="12.8" hidden="false" customHeight="false" outlineLevel="0" collapsed="false">
      <c r="B6" s="6" t="s">
        <v>3</v>
      </c>
    </row>
    <row r="7" customFormat="false" ht="12.8" hidden="false" customHeight="false" outlineLevel="0" collapsed="false">
      <c r="B7" s="2" t="s">
        <v>4</v>
      </c>
    </row>
    <row r="8" customFormat="false" ht="12.8" hidden="false" customHeight="false" outlineLevel="0" collapsed="false"/>
    <row r="10" customFormat="false" ht="15" hidden="false" customHeight="false" outlineLevel="0" collapsed="false">
      <c r="B10" s="7" t="s">
        <v>5</v>
      </c>
      <c r="F10" s="8" t="s">
        <v>6</v>
      </c>
    </row>
    <row r="11" customFormat="false" ht="23.85" hidden="false" customHeight="false" outlineLevel="0" collapsed="false">
      <c r="B11" s="2" t="s">
        <v>7</v>
      </c>
      <c r="F11" s="9" t="s">
        <v>8</v>
      </c>
      <c r="G11" s="10" t="s">
        <v>9</v>
      </c>
      <c r="H11" s="10" t="s">
        <v>10</v>
      </c>
      <c r="I11" s="10" t="s">
        <v>11</v>
      </c>
      <c r="J11" s="11" t="n">
        <f aca="false">ROUND(4*96*1.15,0)</f>
        <v>442</v>
      </c>
      <c r="K11" s="12" t="s">
        <v>12</v>
      </c>
      <c r="M11" s="13" t="s">
        <v>13</v>
      </c>
      <c r="N11" s="10" t="s">
        <v>14</v>
      </c>
      <c r="O11" s="10" t="s">
        <v>15</v>
      </c>
    </row>
    <row r="12" customFormat="false" ht="12.8" hidden="false" customHeight="false" outlineLevel="0" collapsed="false">
      <c r="B12" s="2" t="s">
        <v>16</v>
      </c>
      <c r="F12" s="14" t="s">
        <v>17</v>
      </c>
      <c r="G12" s="15" t="n">
        <v>2</v>
      </c>
      <c r="H12" s="15" t="n">
        <v>1</v>
      </c>
      <c r="I12" s="16" t="n">
        <f aca="false">H12/G12*I$16</f>
        <v>5</v>
      </c>
      <c r="J12" s="16" t="n">
        <f aca="false">J$11*I12</f>
        <v>2210</v>
      </c>
      <c r="K12" s="12" t="s">
        <v>18</v>
      </c>
      <c r="M12" s="14" t="s">
        <v>19</v>
      </c>
      <c r="N12" s="17" t="s">
        <v>20</v>
      </c>
      <c r="O12" s="17" t="s">
        <v>21</v>
      </c>
    </row>
    <row r="13" customFormat="false" ht="12.8" hidden="false" customHeight="false" outlineLevel="0" collapsed="false">
      <c r="B13" s="2" t="s">
        <v>22</v>
      </c>
      <c r="F13" s="14" t="s">
        <v>23</v>
      </c>
      <c r="G13" s="18" t="n">
        <v>5</v>
      </c>
      <c r="H13" s="19" t="n">
        <v>0.5</v>
      </c>
      <c r="I13" s="16" t="n">
        <f aca="false">2*H13/G13*I$16</f>
        <v>2</v>
      </c>
      <c r="J13" s="16"/>
      <c r="M13" s="14" t="s">
        <v>24</v>
      </c>
      <c r="N13" s="17" t="s">
        <v>20</v>
      </c>
      <c r="O13" s="17" t="s">
        <v>25</v>
      </c>
      <c r="P13" s="6"/>
    </row>
    <row r="14" customFormat="false" ht="12.8" hidden="false" customHeight="false" outlineLevel="0" collapsed="false">
      <c r="B14" s="2" t="s">
        <v>26</v>
      </c>
      <c r="F14" s="14" t="s">
        <v>27</v>
      </c>
      <c r="G14" s="20"/>
      <c r="H14" s="20"/>
      <c r="I14" s="16" t="n">
        <v>1</v>
      </c>
      <c r="J14" s="16"/>
      <c r="K14" s="6" t="s">
        <v>28</v>
      </c>
      <c r="M14" s="14" t="s">
        <v>29</v>
      </c>
      <c r="N14" s="17" t="s">
        <v>30</v>
      </c>
      <c r="O14" s="17" t="s">
        <v>25</v>
      </c>
    </row>
    <row r="15" customFormat="false" ht="12.8" hidden="false" customHeight="false" outlineLevel="0" collapsed="false">
      <c r="B15" s="6" t="s">
        <v>31</v>
      </c>
      <c r="F15" s="14" t="s">
        <v>32</v>
      </c>
      <c r="G15" s="20"/>
      <c r="H15" s="20"/>
      <c r="I15" s="16" t="n">
        <f aca="false">I16-SUM(I12:I14)</f>
        <v>2</v>
      </c>
      <c r="J15" s="16" t="n">
        <f aca="false">J$11*I15</f>
        <v>884</v>
      </c>
      <c r="M15" s="14" t="s">
        <v>33</v>
      </c>
      <c r="N15" s="17" t="s">
        <v>34</v>
      </c>
      <c r="O15" s="17" t="s">
        <v>35</v>
      </c>
    </row>
    <row r="16" customFormat="false" ht="12.8" hidden="false" customHeight="false" outlineLevel="0" collapsed="false">
      <c r="B16" s="21" t="s">
        <v>36</v>
      </c>
      <c r="F16" s="22" t="s">
        <v>37</v>
      </c>
      <c r="G16" s="23"/>
      <c r="H16" s="23"/>
      <c r="I16" s="24" t="n">
        <v>10</v>
      </c>
      <c r="J16" s="24" t="n">
        <f aca="false">J$11*I16</f>
        <v>4420</v>
      </c>
      <c r="M16" s="14" t="s">
        <v>38</v>
      </c>
      <c r="N16" s="17" t="s">
        <v>34</v>
      </c>
      <c r="O16" s="17" t="s">
        <v>39</v>
      </c>
    </row>
    <row r="17" customFormat="false" ht="12.8" hidden="false" customHeight="false" outlineLevel="0" collapsed="false">
      <c r="M17" s="25" t="s">
        <v>40</v>
      </c>
    </row>
    <row r="18" customFormat="false" ht="12.8" hidden="false" customHeight="true" outlineLevel="0" collapsed="false">
      <c r="B18" s="2" t="s">
        <v>41</v>
      </c>
      <c r="M18" s="6" t="s">
        <v>42</v>
      </c>
    </row>
    <row r="19" customFormat="false" ht="12.8" hidden="false" customHeight="false" outlineLevel="0" collapsed="false"/>
    <row r="20" customFormat="false" ht="12.8" hidden="false" customHeight="false" outlineLevel="0" collapsed="false"/>
    <row r="21" s="2" customFormat="true" ht="15" hidden="false" customHeight="false" outlineLevel="0" collapsed="false">
      <c r="B21" s="4" t="s">
        <v>43</v>
      </c>
    </row>
    <row r="22" s="2" customFormat="true" ht="12.8" hidden="false" customHeight="true" outlineLevel="0" collapsed="false"/>
    <row r="23" customFormat="false" ht="12.8" hidden="false" customHeight="false" outlineLevel="0" collapsed="false">
      <c r="A23" s="1" t="s">
        <v>44</v>
      </c>
      <c r="B23" s="2" t="s">
        <v>45</v>
      </c>
      <c r="D23" s="2" t="s">
        <v>46</v>
      </c>
    </row>
    <row r="24" customFormat="false" ht="12.8" hidden="false" customHeight="false" outlineLevel="0" collapsed="false">
      <c r="D24" s="2" t="s">
        <v>47</v>
      </c>
    </row>
    <row r="25" customFormat="false" ht="12.8" hidden="false" customHeight="false" outlineLevel="0" collapsed="false">
      <c r="D25" s="2" t="s">
        <v>48</v>
      </c>
    </row>
    <row r="26" customFormat="false" ht="12.8" hidden="false" customHeight="false" outlineLevel="0" collapsed="false">
      <c r="D26" s="2" t="s">
        <v>49</v>
      </c>
    </row>
    <row r="27" s="2" customFormat="true" ht="12.8" hidden="false" customHeight="false" outlineLevel="0" collapsed="false"/>
    <row r="28" customFormat="false" ht="12.8" hidden="false" customHeight="false" outlineLevel="0" collapsed="false">
      <c r="A28" s="1" t="s">
        <v>50</v>
      </c>
      <c r="B28" s="2" t="s">
        <v>51</v>
      </c>
      <c r="D28" s="25" t="s">
        <v>52</v>
      </c>
    </row>
    <row r="29" customFormat="false" ht="12.8" hidden="false" customHeight="false" outlineLevel="0" collapsed="false">
      <c r="B29" s="2" t="s">
        <v>53</v>
      </c>
      <c r="D29" s="2" t="s">
        <v>54</v>
      </c>
    </row>
    <row r="30" customFormat="false" ht="12.8" hidden="false" customHeight="true" outlineLevel="0" collapsed="false">
      <c r="D30" s="6" t="s">
        <v>55</v>
      </c>
    </row>
    <row r="31" s="2" customFormat="true" ht="12.8" hidden="false" customHeight="false" outlineLevel="0" collapsed="false">
      <c r="D31" s="6" t="s">
        <v>56</v>
      </c>
    </row>
    <row r="32" s="2" customFormat="true" ht="12.8" hidden="false" customHeight="false" outlineLevel="0" collapsed="false"/>
    <row r="33" customFormat="false" ht="12.8" hidden="false" customHeight="false" outlineLevel="0" collapsed="false">
      <c r="D33" s="25" t="s">
        <v>57</v>
      </c>
    </row>
    <row r="34" customFormat="false" ht="12.8" hidden="false" customHeight="true" outlineLevel="0" collapsed="false">
      <c r="D34" s="6" t="s">
        <v>58</v>
      </c>
    </row>
    <row r="36" customFormat="false" ht="12.8" hidden="false" customHeight="true" outlineLevel="0" collapsed="false">
      <c r="D36" s="25" t="s">
        <v>59</v>
      </c>
    </row>
    <row r="37" customFormat="false" ht="12.8" hidden="false" customHeight="true" outlineLevel="0" collapsed="false">
      <c r="D37" s="2" t="s">
        <v>60</v>
      </c>
    </row>
    <row r="38" customFormat="false" ht="12.8" hidden="false" customHeight="true" outlineLevel="0" collapsed="false">
      <c r="D38" s="6" t="s">
        <v>61</v>
      </c>
    </row>
    <row r="40" customFormat="false" ht="12.8" hidden="false" customHeight="true" outlineLevel="0" collapsed="false">
      <c r="A40" s="1" t="s">
        <v>62</v>
      </c>
      <c r="B40" s="2" t="s">
        <v>63</v>
      </c>
    </row>
    <row r="42" customFormat="false" ht="12.8" hidden="false" customHeight="true" outlineLevel="0" collapsed="false">
      <c r="B42" s="2" t="s">
        <v>64</v>
      </c>
    </row>
    <row r="43" customFormat="false" ht="12.8" hidden="false" customHeight="true" outlineLevel="0" collapsed="false">
      <c r="B43" s="2" t="s">
        <v>65</v>
      </c>
    </row>
    <row r="44" customFormat="false" ht="12.8" hidden="false" customHeight="true" outlineLevel="0" collapsed="false">
      <c r="B44" s="2" t="s">
        <v>66</v>
      </c>
    </row>
    <row r="45" customFormat="false" ht="12.8" hidden="false" customHeight="true" outlineLevel="0" collapsed="false">
      <c r="B45" s="2" t="s">
        <v>67</v>
      </c>
    </row>
    <row r="46" customFormat="false" ht="12.8" hidden="false" customHeight="true" outlineLevel="0" collapsed="false">
      <c r="B46" s="6" t="s">
        <v>68</v>
      </c>
    </row>
    <row r="49" customFormat="false" ht="12.8" hidden="false" customHeight="true" outlineLevel="0" collapsed="false">
      <c r="B49" s="4" t="s">
        <v>69</v>
      </c>
    </row>
    <row r="51" customFormat="false" ht="12.8" hidden="false" customHeight="true" outlineLevel="0" collapsed="false">
      <c r="B51" s="2" t="s">
        <v>70</v>
      </c>
    </row>
    <row r="52" customFormat="false" ht="12.8" hidden="false" customHeight="true" outlineLevel="0" collapsed="false">
      <c r="B52" s="8" t="s">
        <v>71</v>
      </c>
    </row>
  </sheetData>
  <hyperlinks>
    <hyperlink ref="F10" r:id="rId1" display="Example PCR mix using GoTaq G2 Master Mix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F00"/>
    <pageSetUpPr fitToPage="false"/>
  </sheetPr>
  <dimension ref="A1:Q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6.44"/>
    <col collapsed="false" customWidth="true" hidden="false" outlineLevel="0" max="2" min="2" style="2" width="3.27"/>
    <col collapsed="false" customWidth="true" hidden="false" outlineLevel="0" max="14" min="3" style="2" width="7.65"/>
    <col collapsed="false" customWidth="true" hidden="false" outlineLevel="0" max="15" min="15" style="2" width="2.64"/>
    <col collapsed="false" customWidth="true" hidden="false" outlineLevel="0" max="16" min="16" style="2" width="12.51"/>
    <col collapsed="false" customWidth="true" hidden="false" outlineLevel="0" max="17" min="17" style="2" width="25.19"/>
    <col collapsed="false" customWidth="false" hidden="false" outlineLevel="0" max="16384" min="18" style="2" width="11.53"/>
  </cols>
  <sheetData>
    <row r="1" customFormat="false" ht="17.35" hidden="false" customHeight="false" outlineLevel="0" collapsed="false">
      <c r="C1" s="26" t="s">
        <v>72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7.35" hidden="false" customHeight="false" outlineLevel="0" collapsed="false">
      <c r="C2" s="2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P2" s="27" t="s">
        <v>73</v>
      </c>
      <c r="Q2" s="28"/>
    </row>
    <row r="3" customFormat="false" ht="15" hidden="false" customHeight="false" outlineLevel="0" collapsed="false">
      <c r="A3" s="29"/>
      <c r="B3" s="29"/>
      <c r="C3" s="30" t="s">
        <v>74</v>
      </c>
      <c r="D3" s="30" t="s">
        <v>75</v>
      </c>
      <c r="E3" s="30" t="s">
        <v>76</v>
      </c>
      <c r="F3" s="30" t="s">
        <v>77</v>
      </c>
      <c r="G3" s="30" t="s">
        <v>78</v>
      </c>
      <c r="H3" s="30" t="s">
        <v>79</v>
      </c>
      <c r="I3" s="30" t="s">
        <v>80</v>
      </c>
      <c r="J3" s="30" t="s">
        <v>81</v>
      </c>
      <c r="K3" s="30" t="s">
        <v>82</v>
      </c>
      <c r="L3" s="30" t="s">
        <v>83</v>
      </c>
      <c r="M3" s="30" t="s">
        <v>84</v>
      </c>
      <c r="N3" s="30" t="s">
        <v>85</v>
      </c>
      <c r="O3" s="29"/>
      <c r="P3" s="31" t="s">
        <v>86</v>
      </c>
      <c r="Q3" s="30"/>
    </row>
    <row r="4" customFormat="false" ht="15" hidden="false" customHeight="false" outlineLevel="0" collapsed="false">
      <c r="A4" s="32" t="s">
        <v>87</v>
      </c>
      <c r="B4" s="32" t="n">
        <v>1</v>
      </c>
      <c r="C4" s="33" t="n">
        <v>1</v>
      </c>
      <c r="D4" s="33" t="n">
        <v>2</v>
      </c>
      <c r="E4" s="33" t="n">
        <v>3</v>
      </c>
      <c r="F4" s="33" t="n">
        <v>4</v>
      </c>
      <c r="G4" s="33" t="n">
        <v>5</v>
      </c>
      <c r="H4" s="33" t="n">
        <v>6</v>
      </c>
      <c r="I4" s="33" t="n">
        <v>7</v>
      </c>
      <c r="J4" s="33" t="n">
        <v>8</v>
      </c>
      <c r="K4" s="33" t="n">
        <v>9</v>
      </c>
      <c r="L4" s="33" t="n">
        <v>10</v>
      </c>
      <c r="M4" s="33" t="n">
        <v>11</v>
      </c>
      <c r="N4" s="33" t="n">
        <v>12</v>
      </c>
      <c r="O4" s="29"/>
    </row>
    <row r="5" customFormat="false" ht="15" hidden="false" customHeight="false" outlineLevel="0" collapsed="false">
      <c r="A5" s="28" t="s">
        <v>88</v>
      </c>
      <c r="B5" s="33" t="s">
        <v>89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29"/>
    </row>
    <row r="6" customFormat="false" ht="15" hidden="false" customHeight="false" outlineLevel="0" collapsed="false">
      <c r="A6" s="28" t="s">
        <v>90</v>
      </c>
      <c r="B6" s="33" t="s">
        <v>91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29"/>
    </row>
    <row r="7" customFormat="false" ht="15" hidden="false" customHeight="false" outlineLevel="0" collapsed="false">
      <c r="A7" s="28" t="s">
        <v>92</v>
      </c>
      <c r="B7" s="33" t="s">
        <v>93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29"/>
    </row>
    <row r="8" customFormat="false" ht="15" hidden="false" customHeight="false" outlineLevel="0" collapsed="false">
      <c r="A8" s="28" t="s">
        <v>75</v>
      </c>
      <c r="B8" s="33" t="s">
        <v>94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29"/>
    </row>
    <row r="9" customFormat="false" ht="15" hidden="false" customHeight="false" outlineLevel="0" collapsed="false">
      <c r="A9" s="28" t="s">
        <v>95</v>
      </c>
      <c r="B9" s="33" t="s">
        <v>96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29"/>
    </row>
    <row r="10" customFormat="false" ht="15" hidden="false" customHeight="false" outlineLevel="0" collapsed="false">
      <c r="A10" s="28" t="s">
        <v>79</v>
      </c>
      <c r="B10" s="33" t="s">
        <v>97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29"/>
    </row>
    <row r="11" customFormat="false" ht="15" hidden="false" customHeight="false" outlineLevel="0" collapsed="false">
      <c r="A11" s="28" t="s">
        <v>98</v>
      </c>
      <c r="B11" s="33" t="s">
        <v>99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29"/>
    </row>
    <row r="12" customFormat="false" ht="15" hidden="false" customHeight="false" outlineLevel="0" collapsed="false">
      <c r="A12" s="28" t="s">
        <v>100</v>
      </c>
      <c r="B12" s="33" t="s">
        <v>101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29"/>
    </row>
    <row r="13" customFormat="false" ht="12.8" hidden="false" customHeight="false" outlineLevel="0" collapsed="false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customFormat="false" ht="15" hidden="false" customHeight="false" outlineLevel="0" collapsed="false">
      <c r="A14" s="32" t="s">
        <v>87</v>
      </c>
      <c r="B14" s="32" t="n">
        <v>2</v>
      </c>
      <c r="C14" s="33" t="n">
        <v>1</v>
      </c>
      <c r="D14" s="33" t="n">
        <v>2</v>
      </c>
      <c r="E14" s="33" t="n">
        <v>3</v>
      </c>
      <c r="F14" s="33" t="n">
        <v>4</v>
      </c>
      <c r="G14" s="33" t="n">
        <v>5</v>
      </c>
      <c r="H14" s="33" t="n">
        <v>6</v>
      </c>
      <c r="I14" s="33" t="n">
        <v>7</v>
      </c>
      <c r="J14" s="33" t="n">
        <v>8</v>
      </c>
      <c r="K14" s="33" t="n">
        <v>9</v>
      </c>
      <c r="L14" s="33" t="n">
        <v>10</v>
      </c>
      <c r="M14" s="33" t="n">
        <v>11</v>
      </c>
      <c r="N14" s="33" t="n">
        <v>12</v>
      </c>
      <c r="O14" s="29"/>
    </row>
    <row r="15" customFormat="false" ht="15" hidden="false" customHeight="false" outlineLevel="0" collapsed="false">
      <c r="A15" s="28" t="s">
        <v>102</v>
      </c>
      <c r="B15" s="33" t="s">
        <v>89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29"/>
    </row>
    <row r="16" customFormat="false" ht="15" hidden="false" customHeight="false" outlineLevel="0" collapsed="false">
      <c r="A16" s="28" t="s">
        <v>82</v>
      </c>
      <c r="B16" s="33" t="s">
        <v>91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29"/>
    </row>
    <row r="17" customFormat="false" ht="15" hidden="false" customHeight="false" outlineLevel="0" collapsed="false">
      <c r="A17" s="28" t="s">
        <v>103</v>
      </c>
      <c r="B17" s="33" t="s">
        <v>93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29"/>
    </row>
    <row r="18" customFormat="false" ht="15" hidden="false" customHeight="false" outlineLevel="0" collapsed="false">
      <c r="A18" s="28" t="s">
        <v>104</v>
      </c>
      <c r="B18" s="33" t="s">
        <v>94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29"/>
    </row>
    <row r="19" customFormat="false" ht="15" hidden="false" customHeight="false" outlineLevel="0" collapsed="false">
      <c r="A19" s="28" t="s">
        <v>84</v>
      </c>
      <c r="B19" s="33" t="s">
        <v>96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29"/>
    </row>
    <row r="20" customFormat="false" ht="15" hidden="false" customHeight="false" outlineLevel="0" collapsed="false">
      <c r="A20" s="28" t="s">
        <v>105</v>
      </c>
      <c r="B20" s="33" t="s">
        <v>97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29"/>
    </row>
    <row r="21" customFormat="false" ht="15" hidden="false" customHeight="false" outlineLevel="0" collapsed="false">
      <c r="A21" s="28" t="s">
        <v>106</v>
      </c>
      <c r="B21" s="33" t="s">
        <v>99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29"/>
    </row>
    <row r="22" customFormat="false" ht="15" hidden="false" customHeight="false" outlineLevel="0" collapsed="false">
      <c r="A22" s="28" t="s">
        <v>107</v>
      </c>
      <c r="B22" s="33" t="s">
        <v>101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29"/>
    </row>
    <row r="23" customFormat="false" ht="12.8" hidden="false" customHeight="false" outlineLevel="0" collapsed="false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customFormat="false" ht="15" hidden="false" customHeight="false" outlineLevel="0" collapsed="false">
      <c r="A24" s="32" t="s">
        <v>87</v>
      </c>
      <c r="B24" s="32" t="n">
        <v>3</v>
      </c>
      <c r="C24" s="33" t="n">
        <v>1</v>
      </c>
      <c r="D24" s="33" t="n">
        <v>2</v>
      </c>
      <c r="E24" s="33" t="n">
        <v>3</v>
      </c>
      <c r="F24" s="33" t="n">
        <v>4</v>
      </c>
      <c r="G24" s="33" t="n">
        <v>5</v>
      </c>
      <c r="H24" s="33" t="n">
        <v>6</v>
      </c>
      <c r="I24" s="33" t="n">
        <v>7</v>
      </c>
      <c r="J24" s="33" t="n">
        <v>8</v>
      </c>
      <c r="K24" s="33" t="n">
        <v>9</v>
      </c>
      <c r="L24" s="33" t="n">
        <v>10</v>
      </c>
      <c r="M24" s="33" t="n">
        <v>11</v>
      </c>
      <c r="N24" s="33" t="n">
        <v>12</v>
      </c>
      <c r="O24" s="29"/>
    </row>
    <row r="25" customFormat="false" ht="15" hidden="false" customHeight="false" outlineLevel="0" collapsed="false">
      <c r="A25" s="28" t="s">
        <v>108</v>
      </c>
      <c r="B25" s="33" t="s">
        <v>89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29"/>
    </row>
    <row r="26" customFormat="false" ht="15" hidden="false" customHeight="false" outlineLevel="0" collapsed="false">
      <c r="A26" s="28" t="s">
        <v>109</v>
      </c>
      <c r="B26" s="33" t="s">
        <v>91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29"/>
    </row>
    <row r="27" customFormat="false" ht="15" hidden="false" customHeight="false" outlineLevel="0" collapsed="false">
      <c r="A27" s="28" t="s">
        <v>110</v>
      </c>
      <c r="B27" s="33" t="s">
        <v>93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29"/>
    </row>
    <row r="28" customFormat="false" ht="15" hidden="false" customHeight="false" outlineLevel="0" collapsed="false">
      <c r="A28" s="28" t="s">
        <v>111</v>
      </c>
      <c r="B28" s="33" t="s">
        <v>94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29"/>
    </row>
    <row r="29" customFormat="false" ht="15" hidden="false" customHeight="false" outlineLevel="0" collapsed="false">
      <c r="A29" s="28" t="s">
        <v>112</v>
      </c>
      <c r="B29" s="33" t="s">
        <v>96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29"/>
    </row>
    <row r="30" customFormat="false" ht="15" hidden="false" customHeight="false" outlineLevel="0" collapsed="false">
      <c r="A30" s="28" t="s">
        <v>113</v>
      </c>
      <c r="B30" s="33" t="s">
        <v>97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29"/>
    </row>
    <row r="31" customFormat="false" ht="15" hidden="false" customHeight="false" outlineLevel="0" collapsed="false">
      <c r="A31" s="28" t="s">
        <v>114</v>
      </c>
      <c r="B31" s="33" t="s">
        <v>99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29"/>
    </row>
    <row r="32" customFormat="false" ht="15" hidden="false" customHeight="false" outlineLevel="0" collapsed="false">
      <c r="A32" s="28" t="s">
        <v>115</v>
      </c>
      <c r="B32" s="33" t="s">
        <v>101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29"/>
    </row>
    <row r="33" customFormat="false" ht="12.8" hidden="false" customHeight="false" outlineLevel="0" collapsed="false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customFormat="false" ht="15" hidden="false" customHeight="false" outlineLevel="0" collapsed="false">
      <c r="A34" s="32" t="s">
        <v>87</v>
      </c>
      <c r="B34" s="32" t="n">
        <v>4</v>
      </c>
      <c r="C34" s="33" t="n">
        <v>1</v>
      </c>
      <c r="D34" s="33" t="n">
        <v>2</v>
      </c>
      <c r="E34" s="33" t="n">
        <v>3</v>
      </c>
      <c r="F34" s="33" t="n">
        <v>4</v>
      </c>
      <c r="G34" s="33" t="n">
        <v>5</v>
      </c>
      <c r="H34" s="33" t="n">
        <v>6</v>
      </c>
      <c r="I34" s="33" t="n">
        <v>7</v>
      </c>
      <c r="J34" s="33" t="n">
        <v>8</v>
      </c>
      <c r="K34" s="33" t="n">
        <v>9</v>
      </c>
      <c r="L34" s="33" t="n">
        <v>10</v>
      </c>
      <c r="M34" s="33" t="n">
        <v>11</v>
      </c>
      <c r="N34" s="33" t="n">
        <v>12</v>
      </c>
      <c r="O34" s="29"/>
    </row>
    <row r="35" customFormat="false" ht="15" hidden="false" customHeight="false" outlineLevel="0" collapsed="false">
      <c r="A35" s="28" t="s">
        <v>116</v>
      </c>
      <c r="B35" s="33" t="s">
        <v>89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29"/>
    </row>
    <row r="36" customFormat="false" ht="15" hidden="false" customHeight="false" outlineLevel="0" collapsed="false">
      <c r="A36" s="28" t="s">
        <v>117</v>
      </c>
      <c r="B36" s="33" t="s">
        <v>91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29"/>
    </row>
    <row r="37" customFormat="false" ht="15" hidden="false" customHeight="false" outlineLevel="0" collapsed="false">
      <c r="A37" s="28" t="s">
        <v>118</v>
      </c>
      <c r="B37" s="33" t="s">
        <v>93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29"/>
    </row>
    <row r="38" customFormat="false" ht="15" hidden="false" customHeight="false" outlineLevel="0" collapsed="false">
      <c r="A38" s="28" t="s">
        <v>119</v>
      </c>
      <c r="B38" s="33" t="s">
        <v>94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29"/>
    </row>
    <row r="39" customFormat="false" ht="15" hidden="false" customHeight="false" outlineLevel="0" collapsed="false">
      <c r="A39" s="28" t="s">
        <v>120</v>
      </c>
      <c r="B39" s="33" t="s">
        <v>96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29"/>
    </row>
    <row r="40" customFormat="false" ht="15" hidden="false" customHeight="false" outlineLevel="0" collapsed="false">
      <c r="A40" s="28" t="s">
        <v>121</v>
      </c>
      <c r="B40" s="33" t="s">
        <v>97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29"/>
    </row>
    <row r="41" customFormat="false" ht="15" hidden="false" customHeight="false" outlineLevel="0" collapsed="false">
      <c r="A41" s="28" t="s">
        <v>122</v>
      </c>
      <c r="B41" s="33" t="s">
        <v>99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29"/>
    </row>
    <row r="42" customFormat="false" ht="15" hidden="false" customHeight="false" outlineLevel="0" collapsed="false">
      <c r="A42" s="28" t="s">
        <v>123</v>
      </c>
      <c r="B42" s="33" t="s">
        <v>101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29"/>
    </row>
    <row r="43" customFormat="false" ht="12.8" hidden="false" customHeight="false" outlineLevel="0" collapsed="false"/>
    <row r="44" customFormat="false" ht="15" hidden="false" customHeight="false" outlineLevel="0" collapsed="false">
      <c r="A44" s="32" t="s">
        <v>87</v>
      </c>
      <c r="B44" s="32" t="n">
        <v>5</v>
      </c>
      <c r="C44" s="33" t="n">
        <v>1</v>
      </c>
      <c r="D44" s="33" t="n">
        <v>2</v>
      </c>
      <c r="E44" s="33" t="n">
        <v>3</v>
      </c>
      <c r="F44" s="33" t="n">
        <v>4</v>
      </c>
      <c r="G44" s="33" t="n">
        <v>5</v>
      </c>
      <c r="H44" s="33" t="n">
        <v>6</v>
      </c>
      <c r="I44" s="33" t="n">
        <v>7</v>
      </c>
      <c r="J44" s="33" t="n">
        <v>8</v>
      </c>
      <c r="K44" s="33" t="n">
        <v>9</v>
      </c>
      <c r="L44" s="33" t="n">
        <v>10</v>
      </c>
      <c r="M44" s="33" t="n">
        <v>11</v>
      </c>
      <c r="N44" s="33" t="n">
        <v>12</v>
      </c>
      <c r="O44" s="29"/>
    </row>
    <row r="45" customFormat="false" ht="15" hidden="false" customHeight="false" outlineLevel="0" collapsed="false">
      <c r="A45" s="28" t="s">
        <v>124</v>
      </c>
      <c r="B45" s="33" t="s">
        <v>89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29"/>
    </row>
    <row r="46" customFormat="false" ht="15" hidden="false" customHeight="false" outlineLevel="0" collapsed="false">
      <c r="A46" s="28" t="s">
        <v>125</v>
      </c>
      <c r="B46" s="33" t="s">
        <v>91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29"/>
    </row>
    <row r="47" customFormat="false" ht="15" hidden="false" customHeight="false" outlineLevel="0" collapsed="false">
      <c r="A47" s="28" t="s">
        <v>126</v>
      </c>
      <c r="B47" s="33" t="s">
        <v>93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29"/>
    </row>
    <row r="48" customFormat="false" ht="15" hidden="false" customHeight="false" outlineLevel="0" collapsed="false">
      <c r="A48" s="28" t="s">
        <v>127</v>
      </c>
      <c r="B48" s="33" t="s">
        <v>94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29"/>
    </row>
    <row r="49" customFormat="false" ht="15" hidden="false" customHeight="false" outlineLevel="0" collapsed="false">
      <c r="A49" s="28" t="s">
        <v>128</v>
      </c>
      <c r="B49" s="33" t="s">
        <v>96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29"/>
    </row>
    <row r="50" customFormat="false" ht="15" hidden="false" customHeight="false" outlineLevel="0" collapsed="false">
      <c r="A50" s="28" t="s">
        <v>129</v>
      </c>
      <c r="B50" s="33" t="s">
        <v>97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29"/>
    </row>
    <row r="51" customFormat="false" ht="15" hidden="false" customHeight="false" outlineLevel="0" collapsed="false">
      <c r="A51" s="28" t="s">
        <v>130</v>
      </c>
      <c r="B51" s="33" t="s">
        <v>99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29"/>
    </row>
    <row r="52" customFormat="false" ht="15" hidden="false" customHeight="false" outlineLevel="0" collapsed="false">
      <c r="A52" s="28" t="s">
        <v>131</v>
      </c>
      <c r="B52" s="33" t="s">
        <v>101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29"/>
    </row>
    <row r="54" customFormat="false" ht="13.8" hidden="false" customHeight="false" outlineLevel="0" collapsed="false">
      <c r="B54" s="29"/>
      <c r="C54" s="35" t="s">
        <v>132</v>
      </c>
      <c r="D54" s="35" t="s">
        <v>111</v>
      </c>
      <c r="E54" s="35" t="s">
        <v>112</v>
      </c>
      <c r="F54" s="35" t="s">
        <v>133</v>
      </c>
      <c r="G54" s="35" t="s">
        <v>113</v>
      </c>
      <c r="H54" s="35" t="s">
        <v>134</v>
      </c>
      <c r="I54" s="35" t="s">
        <v>135</v>
      </c>
      <c r="J54" s="35" t="s">
        <v>121</v>
      </c>
      <c r="K54" s="35" t="s">
        <v>136</v>
      </c>
      <c r="L54" s="35" t="s">
        <v>137</v>
      </c>
      <c r="M54" s="35" t="s">
        <v>138</v>
      </c>
      <c r="N54" s="35" t="s">
        <v>139</v>
      </c>
    </row>
    <row r="55" customFormat="false" ht="15" hidden="false" customHeight="false" outlineLevel="0" collapsed="false">
      <c r="A55" s="32" t="s">
        <v>87</v>
      </c>
      <c r="B55" s="32" t="n">
        <v>6</v>
      </c>
      <c r="C55" s="33" t="n">
        <v>1</v>
      </c>
      <c r="D55" s="33" t="n">
        <v>2</v>
      </c>
      <c r="E55" s="33" t="n">
        <v>3</v>
      </c>
      <c r="F55" s="33" t="n">
        <v>4</v>
      </c>
      <c r="G55" s="33" t="n">
        <v>5</v>
      </c>
      <c r="H55" s="33" t="n">
        <v>6</v>
      </c>
      <c r="I55" s="33" t="n">
        <v>7</v>
      </c>
      <c r="J55" s="33" t="n">
        <v>8</v>
      </c>
      <c r="K55" s="33" t="n">
        <v>9</v>
      </c>
      <c r="L55" s="33" t="n">
        <v>10</v>
      </c>
      <c r="M55" s="33" t="n">
        <v>11</v>
      </c>
      <c r="N55" s="33" t="n">
        <v>12</v>
      </c>
    </row>
    <row r="56" customFormat="false" ht="15" hidden="false" customHeight="false" outlineLevel="0" collapsed="false">
      <c r="A56" s="28" t="s">
        <v>88</v>
      </c>
      <c r="B56" s="33" t="s">
        <v>89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</row>
    <row r="57" customFormat="false" ht="15" hidden="false" customHeight="false" outlineLevel="0" collapsed="false">
      <c r="A57" s="28" t="s">
        <v>90</v>
      </c>
      <c r="B57" s="33" t="s">
        <v>91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</row>
    <row r="58" customFormat="false" ht="15" hidden="false" customHeight="false" outlineLevel="0" collapsed="false">
      <c r="A58" s="28" t="s">
        <v>92</v>
      </c>
      <c r="B58" s="33" t="s">
        <v>93</v>
      </c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</row>
    <row r="59" customFormat="false" ht="15" hidden="false" customHeight="false" outlineLevel="0" collapsed="false">
      <c r="A59" s="28" t="s">
        <v>75</v>
      </c>
      <c r="B59" s="33" t="s">
        <v>94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</row>
    <row r="60" customFormat="false" ht="15" hidden="false" customHeight="false" outlineLevel="0" collapsed="false">
      <c r="A60" s="28" t="s">
        <v>95</v>
      </c>
      <c r="B60" s="33" t="s">
        <v>96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</row>
    <row r="61" customFormat="false" ht="15" hidden="false" customHeight="false" outlineLevel="0" collapsed="false">
      <c r="A61" s="28" t="s">
        <v>79</v>
      </c>
      <c r="B61" s="33" t="s">
        <v>97</v>
      </c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</row>
    <row r="62" customFormat="false" ht="15" hidden="false" customHeight="false" outlineLevel="0" collapsed="false">
      <c r="A62" s="28" t="s">
        <v>98</v>
      </c>
      <c r="B62" s="33" t="s">
        <v>99</v>
      </c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customFormat="false" ht="15" hidden="false" customHeight="false" outlineLevel="0" collapsed="false">
      <c r="A63" s="28" t="s">
        <v>100</v>
      </c>
      <c r="B63" s="33" t="s">
        <v>101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  <row r="64" customFormat="false" ht="12.8" hidden="false" customHeight="false" outlineLevel="0" collapsed="false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customFormat="false" ht="15" hidden="false" customHeight="false" outlineLevel="0" collapsed="false">
      <c r="A65" s="32" t="s">
        <v>87</v>
      </c>
      <c r="B65" s="32" t="n">
        <v>7</v>
      </c>
      <c r="C65" s="33" t="n">
        <v>1</v>
      </c>
      <c r="D65" s="33" t="n">
        <v>2</v>
      </c>
      <c r="E65" s="33" t="n">
        <v>3</v>
      </c>
      <c r="F65" s="33" t="n">
        <v>4</v>
      </c>
      <c r="G65" s="33" t="n">
        <v>5</v>
      </c>
      <c r="H65" s="33" t="n">
        <v>6</v>
      </c>
      <c r="I65" s="33" t="n">
        <v>7</v>
      </c>
      <c r="J65" s="33" t="n">
        <v>8</v>
      </c>
      <c r="K65" s="33" t="n">
        <v>9</v>
      </c>
      <c r="L65" s="33" t="n">
        <v>10</v>
      </c>
      <c r="M65" s="33" t="n">
        <v>11</v>
      </c>
      <c r="N65" s="33" t="n">
        <v>12</v>
      </c>
    </row>
    <row r="66" customFormat="false" ht="15" hidden="false" customHeight="false" outlineLevel="0" collapsed="false">
      <c r="A66" s="28" t="s">
        <v>102</v>
      </c>
      <c r="B66" s="33" t="s">
        <v>89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</row>
    <row r="67" customFormat="false" ht="15" hidden="false" customHeight="false" outlineLevel="0" collapsed="false">
      <c r="A67" s="28" t="s">
        <v>82</v>
      </c>
      <c r="B67" s="33" t="s">
        <v>91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</row>
    <row r="68" customFormat="false" ht="15" hidden="false" customHeight="false" outlineLevel="0" collapsed="false">
      <c r="A68" s="28" t="s">
        <v>103</v>
      </c>
      <c r="B68" s="33" t="s">
        <v>93</v>
      </c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</row>
    <row r="69" customFormat="false" ht="15" hidden="false" customHeight="false" outlineLevel="0" collapsed="false">
      <c r="A69" s="28" t="s">
        <v>104</v>
      </c>
      <c r="B69" s="33" t="s">
        <v>94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</row>
    <row r="70" customFormat="false" ht="15" hidden="false" customHeight="false" outlineLevel="0" collapsed="false">
      <c r="A70" s="28" t="s">
        <v>84</v>
      </c>
      <c r="B70" s="33" t="s">
        <v>96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</row>
    <row r="71" customFormat="false" ht="15" hidden="false" customHeight="false" outlineLevel="0" collapsed="false">
      <c r="A71" s="28" t="s">
        <v>105</v>
      </c>
      <c r="B71" s="33" t="s">
        <v>97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</row>
    <row r="72" customFormat="false" ht="15" hidden="false" customHeight="false" outlineLevel="0" collapsed="false">
      <c r="A72" s="28" t="s">
        <v>106</v>
      </c>
      <c r="B72" s="33" t="s">
        <v>99</v>
      </c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</row>
    <row r="73" customFormat="false" ht="15" hidden="false" customHeight="false" outlineLevel="0" collapsed="false">
      <c r="A73" s="28" t="s">
        <v>107</v>
      </c>
      <c r="B73" s="33" t="s">
        <v>101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</row>
    <row r="74" customFormat="false" ht="12.8" hidden="false" customHeight="false" outlineLevel="0" collapsed="false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</row>
    <row r="75" customFormat="false" ht="15" hidden="false" customHeight="false" outlineLevel="0" collapsed="false">
      <c r="A75" s="32" t="s">
        <v>87</v>
      </c>
      <c r="B75" s="32" t="n">
        <v>8</v>
      </c>
      <c r="C75" s="33" t="n">
        <v>1</v>
      </c>
      <c r="D75" s="33" t="n">
        <v>2</v>
      </c>
      <c r="E75" s="33" t="n">
        <v>3</v>
      </c>
      <c r="F75" s="33" t="n">
        <v>4</v>
      </c>
      <c r="G75" s="33" t="n">
        <v>5</v>
      </c>
      <c r="H75" s="33" t="n">
        <v>6</v>
      </c>
      <c r="I75" s="33" t="n">
        <v>7</v>
      </c>
      <c r="J75" s="33" t="n">
        <v>8</v>
      </c>
      <c r="K75" s="33" t="n">
        <v>9</v>
      </c>
      <c r="L75" s="33" t="n">
        <v>10</v>
      </c>
      <c r="M75" s="33" t="n">
        <v>11</v>
      </c>
      <c r="N75" s="33" t="n">
        <v>12</v>
      </c>
    </row>
    <row r="76" customFormat="false" ht="15" hidden="false" customHeight="false" outlineLevel="0" collapsed="false">
      <c r="A76" s="28" t="s">
        <v>108</v>
      </c>
      <c r="B76" s="33" t="s">
        <v>89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</row>
    <row r="77" customFormat="false" ht="15" hidden="false" customHeight="false" outlineLevel="0" collapsed="false">
      <c r="A77" s="28" t="s">
        <v>109</v>
      </c>
      <c r="B77" s="33" t="s">
        <v>91</v>
      </c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</row>
    <row r="78" customFormat="false" ht="15" hidden="false" customHeight="false" outlineLevel="0" collapsed="false">
      <c r="A78" s="28" t="s">
        <v>110</v>
      </c>
      <c r="B78" s="33" t="s">
        <v>93</v>
      </c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</row>
    <row r="79" customFormat="false" ht="15" hidden="false" customHeight="false" outlineLevel="0" collapsed="false">
      <c r="A79" s="28" t="s">
        <v>111</v>
      </c>
      <c r="B79" s="33" t="s">
        <v>94</v>
      </c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</row>
    <row r="80" customFormat="false" ht="15" hidden="false" customHeight="false" outlineLevel="0" collapsed="false">
      <c r="A80" s="28" t="s">
        <v>112</v>
      </c>
      <c r="B80" s="33" t="s">
        <v>96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</row>
    <row r="81" customFormat="false" ht="15" hidden="false" customHeight="false" outlineLevel="0" collapsed="false">
      <c r="A81" s="28" t="s">
        <v>113</v>
      </c>
      <c r="B81" s="33" t="s">
        <v>97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</row>
    <row r="82" customFormat="false" ht="15" hidden="false" customHeight="false" outlineLevel="0" collapsed="false">
      <c r="A82" s="28" t="s">
        <v>114</v>
      </c>
      <c r="B82" s="33" t="s">
        <v>99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</row>
    <row r="83" customFormat="false" ht="15" hidden="false" customHeight="false" outlineLevel="0" collapsed="false">
      <c r="A83" s="28" t="s">
        <v>115</v>
      </c>
      <c r="B83" s="33" t="s">
        <v>101</v>
      </c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</row>
    <row r="84" customFormat="false" ht="12.8" hidden="false" customHeight="false" outlineLevel="0" collapsed="false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customFormat="false" ht="15" hidden="false" customHeight="false" outlineLevel="0" collapsed="false">
      <c r="A85" s="32" t="s">
        <v>87</v>
      </c>
      <c r="B85" s="32" t="n">
        <v>9</v>
      </c>
      <c r="C85" s="33" t="n">
        <v>1</v>
      </c>
      <c r="D85" s="33" t="n">
        <v>2</v>
      </c>
      <c r="E85" s="33" t="n">
        <v>3</v>
      </c>
      <c r="F85" s="33" t="n">
        <v>4</v>
      </c>
      <c r="G85" s="33" t="n">
        <v>5</v>
      </c>
      <c r="H85" s="33" t="n">
        <v>6</v>
      </c>
      <c r="I85" s="33" t="n">
        <v>7</v>
      </c>
      <c r="J85" s="33" t="n">
        <v>8</v>
      </c>
      <c r="K85" s="33" t="n">
        <v>9</v>
      </c>
      <c r="L85" s="33" t="n">
        <v>10</v>
      </c>
      <c r="M85" s="33" t="n">
        <v>11</v>
      </c>
      <c r="N85" s="33" t="n">
        <v>12</v>
      </c>
    </row>
    <row r="86" customFormat="false" ht="15" hidden="false" customHeight="false" outlineLevel="0" collapsed="false">
      <c r="A86" s="28" t="s">
        <v>116</v>
      </c>
      <c r="B86" s="33" t="s">
        <v>89</v>
      </c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</row>
    <row r="87" customFormat="false" ht="15" hidden="false" customHeight="false" outlineLevel="0" collapsed="false">
      <c r="A87" s="28" t="s">
        <v>117</v>
      </c>
      <c r="B87" s="33" t="s">
        <v>91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</row>
    <row r="88" customFormat="false" ht="15" hidden="false" customHeight="false" outlineLevel="0" collapsed="false">
      <c r="A88" s="28" t="s">
        <v>118</v>
      </c>
      <c r="B88" s="33" t="s">
        <v>93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</row>
    <row r="89" customFormat="false" ht="15" hidden="false" customHeight="false" outlineLevel="0" collapsed="false">
      <c r="A89" s="28" t="s">
        <v>119</v>
      </c>
      <c r="B89" s="33" t="s">
        <v>94</v>
      </c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</row>
    <row r="90" customFormat="false" ht="15" hidden="false" customHeight="false" outlineLevel="0" collapsed="false">
      <c r="A90" s="28" t="s">
        <v>120</v>
      </c>
      <c r="B90" s="33" t="s">
        <v>96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</row>
    <row r="91" customFormat="false" ht="15" hidden="false" customHeight="false" outlineLevel="0" collapsed="false">
      <c r="A91" s="28" t="s">
        <v>121</v>
      </c>
      <c r="B91" s="33" t="s">
        <v>97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</row>
    <row r="92" customFormat="false" ht="15" hidden="false" customHeight="false" outlineLevel="0" collapsed="false">
      <c r="A92" s="28" t="s">
        <v>122</v>
      </c>
      <c r="B92" s="33" t="s">
        <v>99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</row>
    <row r="93" customFormat="false" ht="15" hidden="false" customHeight="false" outlineLevel="0" collapsed="false">
      <c r="A93" s="28" t="s">
        <v>123</v>
      </c>
      <c r="B93" s="33" t="s">
        <v>101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</row>
    <row r="94" customFormat="false" ht="12.8" hidden="false" customHeight="false" outlineLevel="0" collapsed="false"/>
    <row r="95" customFormat="false" ht="15" hidden="false" customHeight="false" outlineLevel="0" collapsed="false">
      <c r="A95" s="32" t="s">
        <v>87</v>
      </c>
      <c r="B95" s="32" t="n">
        <v>10</v>
      </c>
      <c r="C95" s="33" t="n">
        <v>1</v>
      </c>
      <c r="D95" s="33" t="n">
        <v>2</v>
      </c>
      <c r="E95" s="33" t="n">
        <v>3</v>
      </c>
      <c r="F95" s="33" t="n">
        <v>4</v>
      </c>
      <c r="G95" s="33" t="n">
        <v>5</v>
      </c>
      <c r="H95" s="33" t="n">
        <v>6</v>
      </c>
      <c r="I95" s="33" t="n">
        <v>7</v>
      </c>
      <c r="J95" s="33" t="n">
        <v>8</v>
      </c>
      <c r="K95" s="33" t="n">
        <v>9</v>
      </c>
      <c r="L95" s="33" t="n">
        <v>10</v>
      </c>
      <c r="M95" s="33" t="n">
        <v>11</v>
      </c>
      <c r="N95" s="33" t="n">
        <v>12</v>
      </c>
    </row>
    <row r="96" customFormat="false" ht="15" hidden="false" customHeight="false" outlineLevel="0" collapsed="false">
      <c r="A96" s="28" t="s">
        <v>124</v>
      </c>
      <c r="B96" s="33" t="s">
        <v>89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</row>
    <row r="97" customFormat="false" ht="15" hidden="false" customHeight="false" outlineLevel="0" collapsed="false">
      <c r="A97" s="28" t="s">
        <v>125</v>
      </c>
      <c r="B97" s="33" t="s">
        <v>91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</row>
    <row r="98" customFormat="false" ht="15" hidden="false" customHeight="false" outlineLevel="0" collapsed="false">
      <c r="A98" s="28" t="s">
        <v>126</v>
      </c>
      <c r="B98" s="33" t="s">
        <v>93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</row>
    <row r="99" customFormat="false" ht="15" hidden="false" customHeight="false" outlineLevel="0" collapsed="false">
      <c r="A99" s="28" t="s">
        <v>127</v>
      </c>
      <c r="B99" s="33" t="s">
        <v>94</v>
      </c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</row>
    <row r="100" customFormat="false" ht="15" hidden="false" customHeight="false" outlineLevel="0" collapsed="false">
      <c r="A100" s="28" t="s">
        <v>128</v>
      </c>
      <c r="B100" s="33" t="s">
        <v>96</v>
      </c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</row>
    <row r="101" customFormat="false" ht="15" hidden="false" customHeight="false" outlineLevel="0" collapsed="false">
      <c r="A101" s="28" t="s">
        <v>129</v>
      </c>
      <c r="B101" s="33" t="s">
        <v>97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</row>
    <row r="102" customFormat="false" ht="15" hidden="false" customHeight="false" outlineLevel="0" collapsed="false">
      <c r="A102" s="28" t="s">
        <v>130</v>
      </c>
      <c r="B102" s="33" t="s">
        <v>99</v>
      </c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</row>
    <row r="103" customFormat="false" ht="15" hidden="false" customHeight="false" outlineLevel="0" collapsed="false">
      <c r="A103" s="28" t="s">
        <v>131</v>
      </c>
      <c r="B103" s="33" t="s">
        <v>101</v>
      </c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</row>
    <row r="105" customFormat="false" ht="13.8" hidden="false" customHeight="false" outlineLevel="0" collapsed="false">
      <c r="B105" s="29"/>
      <c r="C105" s="35" t="s">
        <v>124</v>
      </c>
      <c r="D105" s="35" t="s">
        <v>140</v>
      </c>
      <c r="E105" s="35" t="s">
        <v>141</v>
      </c>
      <c r="F105" s="35" t="s">
        <v>125</v>
      </c>
      <c r="G105" s="35" t="s">
        <v>142</v>
      </c>
      <c r="H105" s="35" t="s">
        <v>143</v>
      </c>
      <c r="I105" s="35" t="s">
        <v>144</v>
      </c>
      <c r="J105" s="35" t="s">
        <v>145</v>
      </c>
      <c r="K105" s="35" t="s">
        <v>146</v>
      </c>
      <c r="L105" s="35" t="s">
        <v>147</v>
      </c>
      <c r="M105" s="35" t="s">
        <v>148</v>
      </c>
      <c r="N105" s="35" t="s">
        <v>131</v>
      </c>
    </row>
    <row r="106" customFormat="false" ht="15" hidden="false" customHeight="false" outlineLevel="0" collapsed="false">
      <c r="A106" s="32" t="s">
        <v>87</v>
      </c>
      <c r="B106" s="32" t="n">
        <v>11</v>
      </c>
      <c r="C106" s="33" t="n">
        <v>1</v>
      </c>
      <c r="D106" s="33" t="n">
        <v>2</v>
      </c>
      <c r="E106" s="33" t="n">
        <v>3</v>
      </c>
      <c r="F106" s="33" t="n">
        <v>4</v>
      </c>
      <c r="G106" s="33" t="n">
        <v>5</v>
      </c>
      <c r="H106" s="33" t="n">
        <v>6</v>
      </c>
      <c r="I106" s="33" t="n">
        <v>7</v>
      </c>
      <c r="J106" s="33" t="n">
        <v>8</v>
      </c>
      <c r="K106" s="33" t="n">
        <v>9</v>
      </c>
      <c r="L106" s="33" t="n">
        <v>10</v>
      </c>
      <c r="M106" s="33" t="n">
        <v>11</v>
      </c>
      <c r="N106" s="33" t="n">
        <v>12</v>
      </c>
    </row>
    <row r="107" customFormat="false" ht="15" hidden="false" customHeight="false" outlineLevel="0" collapsed="false">
      <c r="A107" s="28" t="s">
        <v>88</v>
      </c>
      <c r="B107" s="33" t="s">
        <v>89</v>
      </c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</row>
    <row r="108" customFormat="false" ht="15" hidden="false" customHeight="false" outlineLevel="0" collapsed="false">
      <c r="A108" s="28" t="s">
        <v>90</v>
      </c>
      <c r="B108" s="33" t="s">
        <v>91</v>
      </c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</row>
    <row r="109" customFormat="false" ht="15" hidden="false" customHeight="false" outlineLevel="0" collapsed="false">
      <c r="A109" s="28" t="s">
        <v>92</v>
      </c>
      <c r="B109" s="33" t="s">
        <v>93</v>
      </c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</row>
    <row r="110" customFormat="false" ht="15" hidden="false" customHeight="false" outlineLevel="0" collapsed="false">
      <c r="A110" s="28" t="s">
        <v>75</v>
      </c>
      <c r="B110" s="33" t="s">
        <v>94</v>
      </c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</row>
    <row r="111" customFormat="false" ht="15" hidden="false" customHeight="false" outlineLevel="0" collapsed="false">
      <c r="A111" s="28" t="s">
        <v>95</v>
      </c>
      <c r="B111" s="33" t="s">
        <v>96</v>
      </c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</row>
    <row r="112" customFormat="false" ht="15" hidden="false" customHeight="false" outlineLevel="0" collapsed="false">
      <c r="A112" s="28" t="s">
        <v>79</v>
      </c>
      <c r="B112" s="33" t="s">
        <v>97</v>
      </c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</row>
    <row r="113" customFormat="false" ht="15" hidden="false" customHeight="false" outlineLevel="0" collapsed="false">
      <c r="A113" s="28" t="s">
        <v>98</v>
      </c>
      <c r="B113" s="33" t="s">
        <v>99</v>
      </c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</row>
    <row r="114" customFormat="false" ht="15" hidden="false" customHeight="false" outlineLevel="0" collapsed="false">
      <c r="A114" s="28" t="s">
        <v>100</v>
      </c>
      <c r="B114" s="33" t="s">
        <v>101</v>
      </c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</row>
    <row r="115" customFormat="false" ht="12.8" hidden="false" customHeight="false" outlineLevel="0" collapsed="false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</row>
    <row r="116" customFormat="false" ht="15" hidden="false" customHeight="false" outlineLevel="0" collapsed="false">
      <c r="A116" s="32" t="s">
        <v>87</v>
      </c>
      <c r="B116" s="32" t="n">
        <v>12</v>
      </c>
      <c r="C116" s="33" t="n">
        <v>1</v>
      </c>
      <c r="D116" s="33" t="n">
        <v>2</v>
      </c>
      <c r="E116" s="33" t="n">
        <v>3</v>
      </c>
      <c r="F116" s="33" t="n">
        <v>4</v>
      </c>
      <c r="G116" s="33" t="n">
        <v>5</v>
      </c>
      <c r="H116" s="33" t="n">
        <v>6</v>
      </c>
      <c r="I116" s="33" t="n">
        <v>7</v>
      </c>
      <c r="J116" s="33" t="n">
        <v>8</v>
      </c>
      <c r="K116" s="33" t="n">
        <v>9</v>
      </c>
      <c r="L116" s="33" t="n">
        <v>10</v>
      </c>
      <c r="M116" s="33" t="n">
        <v>11</v>
      </c>
      <c r="N116" s="33" t="n">
        <v>12</v>
      </c>
    </row>
    <row r="117" customFormat="false" ht="15" hidden="false" customHeight="false" outlineLevel="0" collapsed="false">
      <c r="A117" s="28" t="s">
        <v>102</v>
      </c>
      <c r="B117" s="33" t="s">
        <v>89</v>
      </c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</row>
    <row r="118" customFormat="false" ht="15" hidden="false" customHeight="false" outlineLevel="0" collapsed="false">
      <c r="A118" s="28" t="s">
        <v>82</v>
      </c>
      <c r="B118" s="33" t="s">
        <v>91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</row>
    <row r="119" customFormat="false" ht="15" hidden="false" customHeight="false" outlineLevel="0" collapsed="false">
      <c r="A119" s="28" t="s">
        <v>103</v>
      </c>
      <c r="B119" s="33" t="s">
        <v>93</v>
      </c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</row>
    <row r="120" customFormat="false" ht="15" hidden="false" customHeight="false" outlineLevel="0" collapsed="false">
      <c r="A120" s="28" t="s">
        <v>104</v>
      </c>
      <c r="B120" s="33" t="s">
        <v>94</v>
      </c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</row>
    <row r="121" customFormat="false" ht="15" hidden="false" customHeight="false" outlineLevel="0" collapsed="false">
      <c r="A121" s="28" t="s">
        <v>84</v>
      </c>
      <c r="B121" s="33" t="s">
        <v>96</v>
      </c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</row>
    <row r="122" customFormat="false" ht="15" hidden="false" customHeight="false" outlineLevel="0" collapsed="false">
      <c r="A122" s="28" t="s">
        <v>105</v>
      </c>
      <c r="B122" s="33" t="s">
        <v>97</v>
      </c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</row>
    <row r="123" customFormat="false" ht="15" hidden="false" customHeight="false" outlineLevel="0" collapsed="false">
      <c r="A123" s="28" t="s">
        <v>106</v>
      </c>
      <c r="B123" s="33" t="s">
        <v>99</v>
      </c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</row>
    <row r="124" customFormat="false" ht="15" hidden="false" customHeight="false" outlineLevel="0" collapsed="false">
      <c r="A124" s="28" t="s">
        <v>107</v>
      </c>
      <c r="B124" s="33" t="s">
        <v>101</v>
      </c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</row>
    <row r="125" customFormat="false" ht="12.8" hidden="false" customHeight="false" outlineLevel="0" collapsed="false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</row>
    <row r="126" customFormat="false" ht="15" hidden="false" customHeight="false" outlineLevel="0" collapsed="false">
      <c r="A126" s="32" t="s">
        <v>87</v>
      </c>
      <c r="B126" s="32" t="n">
        <v>13</v>
      </c>
      <c r="C126" s="33" t="n">
        <v>1</v>
      </c>
      <c r="D126" s="33" t="n">
        <v>2</v>
      </c>
      <c r="E126" s="33" t="n">
        <v>3</v>
      </c>
      <c r="F126" s="33" t="n">
        <v>4</v>
      </c>
      <c r="G126" s="33" t="n">
        <v>5</v>
      </c>
      <c r="H126" s="33" t="n">
        <v>6</v>
      </c>
      <c r="I126" s="33" t="n">
        <v>7</v>
      </c>
      <c r="J126" s="33" t="n">
        <v>8</v>
      </c>
      <c r="K126" s="33" t="n">
        <v>9</v>
      </c>
      <c r="L126" s="33" t="n">
        <v>10</v>
      </c>
      <c r="M126" s="33" t="n">
        <v>11</v>
      </c>
      <c r="N126" s="33" t="n">
        <v>12</v>
      </c>
    </row>
    <row r="127" customFormat="false" ht="15" hidden="false" customHeight="false" outlineLevel="0" collapsed="false">
      <c r="A127" s="28" t="s">
        <v>108</v>
      </c>
      <c r="B127" s="33" t="s">
        <v>89</v>
      </c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</row>
    <row r="128" customFormat="false" ht="15" hidden="false" customHeight="false" outlineLevel="0" collapsed="false">
      <c r="A128" s="28" t="s">
        <v>109</v>
      </c>
      <c r="B128" s="33" t="s">
        <v>91</v>
      </c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</row>
    <row r="129" customFormat="false" ht="15" hidden="false" customHeight="false" outlineLevel="0" collapsed="false">
      <c r="A129" s="28" t="s">
        <v>110</v>
      </c>
      <c r="B129" s="33" t="s">
        <v>93</v>
      </c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</row>
    <row r="130" customFormat="false" ht="15" hidden="false" customHeight="false" outlineLevel="0" collapsed="false">
      <c r="A130" s="28" t="s">
        <v>111</v>
      </c>
      <c r="B130" s="33" t="s">
        <v>94</v>
      </c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</row>
    <row r="131" customFormat="false" ht="15" hidden="false" customHeight="false" outlineLevel="0" collapsed="false">
      <c r="A131" s="28" t="s">
        <v>112</v>
      </c>
      <c r="B131" s="33" t="s">
        <v>96</v>
      </c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</row>
    <row r="132" customFormat="false" ht="15" hidden="false" customHeight="false" outlineLevel="0" collapsed="false">
      <c r="A132" s="28" t="s">
        <v>113</v>
      </c>
      <c r="B132" s="33" t="s">
        <v>97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</row>
    <row r="133" customFormat="false" ht="15" hidden="false" customHeight="false" outlineLevel="0" collapsed="false">
      <c r="A133" s="28" t="s">
        <v>114</v>
      </c>
      <c r="B133" s="33" t="s">
        <v>99</v>
      </c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</row>
    <row r="134" customFormat="false" ht="15" hidden="false" customHeight="false" outlineLevel="0" collapsed="false">
      <c r="A134" s="28" t="s">
        <v>115</v>
      </c>
      <c r="B134" s="33" t="s">
        <v>101</v>
      </c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</row>
    <row r="135" customFormat="false" ht="12.8" hidden="false" customHeight="false" outlineLevel="0" collapsed="false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</row>
    <row r="136" customFormat="false" ht="15" hidden="false" customHeight="false" outlineLevel="0" collapsed="false">
      <c r="A136" s="32" t="s">
        <v>87</v>
      </c>
      <c r="B136" s="32" t="n">
        <v>14</v>
      </c>
      <c r="C136" s="33" t="n">
        <v>1</v>
      </c>
      <c r="D136" s="33" t="n">
        <v>2</v>
      </c>
      <c r="E136" s="33" t="n">
        <v>3</v>
      </c>
      <c r="F136" s="33" t="n">
        <v>4</v>
      </c>
      <c r="G136" s="33" t="n">
        <v>5</v>
      </c>
      <c r="H136" s="33" t="n">
        <v>6</v>
      </c>
      <c r="I136" s="33" t="n">
        <v>7</v>
      </c>
      <c r="J136" s="33" t="n">
        <v>8</v>
      </c>
      <c r="K136" s="33" t="n">
        <v>9</v>
      </c>
      <c r="L136" s="33" t="n">
        <v>10</v>
      </c>
      <c r="M136" s="33" t="n">
        <v>11</v>
      </c>
      <c r="N136" s="33" t="n">
        <v>12</v>
      </c>
    </row>
    <row r="137" customFormat="false" ht="15" hidden="false" customHeight="false" outlineLevel="0" collapsed="false">
      <c r="A137" s="28" t="s">
        <v>116</v>
      </c>
      <c r="B137" s="33" t="s">
        <v>89</v>
      </c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</row>
    <row r="138" customFormat="false" ht="15" hidden="false" customHeight="false" outlineLevel="0" collapsed="false">
      <c r="A138" s="28" t="s">
        <v>117</v>
      </c>
      <c r="B138" s="33" t="s">
        <v>91</v>
      </c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</row>
    <row r="139" customFormat="false" ht="15" hidden="false" customHeight="false" outlineLevel="0" collapsed="false">
      <c r="A139" s="28" t="s">
        <v>118</v>
      </c>
      <c r="B139" s="33" t="s">
        <v>93</v>
      </c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</row>
    <row r="140" customFormat="false" ht="15" hidden="false" customHeight="false" outlineLevel="0" collapsed="false">
      <c r="A140" s="28" t="s">
        <v>119</v>
      </c>
      <c r="B140" s="33" t="s">
        <v>94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</row>
    <row r="141" customFormat="false" ht="15" hidden="false" customHeight="false" outlineLevel="0" collapsed="false">
      <c r="A141" s="28" t="s">
        <v>120</v>
      </c>
      <c r="B141" s="33" t="s">
        <v>96</v>
      </c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</row>
    <row r="142" customFormat="false" ht="15" hidden="false" customHeight="false" outlineLevel="0" collapsed="false">
      <c r="A142" s="28" t="s">
        <v>121</v>
      </c>
      <c r="B142" s="33" t="s">
        <v>97</v>
      </c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</row>
    <row r="143" customFormat="false" ht="15" hidden="false" customHeight="false" outlineLevel="0" collapsed="false">
      <c r="A143" s="28" t="s">
        <v>122</v>
      </c>
      <c r="B143" s="33" t="s">
        <v>99</v>
      </c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</row>
    <row r="144" customFormat="false" ht="15" hidden="false" customHeight="false" outlineLevel="0" collapsed="false">
      <c r="A144" s="28" t="s">
        <v>123</v>
      </c>
      <c r="B144" s="33" t="s">
        <v>101</v>
      </c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</row>
    <row r="145" customFormat="false" ht="12.8" hidden="false" customHeight="false" outlineLevel="0" collapsed="false"/>
    <row r="146" customFormat="false" ht="15" hidden="false" customHeight="false" outlineLevel="0" collapsed="false">
      <c r="A146" s="32" t="s">
        <v>87</v>
      </c>
      <c r="B146" s="32" t="n">
        <v>15</v>
      </c>
      <c r="C146" s="33" t="n">
        <v>1</v>
      </c>
      <c r="D146" s="33" t="n">
        <v>2</v>
      </c>
      <c r="E146" s="33" t="n">
        <v>3</v>
      </c>
      <c r="F146" s="33" t="n">
        <v>4</v>
      </c>
      <c r="G146" s="33" t="n">
        <v>5</v>
      </c>
      <c r="H146" s="33" t="n">
        <v>6</v>
      </c>
      <c r="I146" s="33" t="n">
        <v>7</v>
      </c>
      <c r="J146" s="33" t="n">
        <v>8</v>
      </c>
      <c r="K146" s="33" t="n">
        <v>9</v>
      </c>
      <c r="L146" s="33" t="n">
        <v>10</v>
      </c>
      <c r="M146" s="33" t="n">
        <v>11</v>
      </c>
      <c r="N146" s="33" t="n">
        <v>12</v>
      </c>
    </row>
    <row r="147" customFormat="false" ht="15" hidden="false" customHeight="false" outlineLevel="0" collapsed="false">
      <c r="A147" s="28" t="s">
        <v>124</v>
      </c>
      <c r="B147" s="33" t="s">
        <v>89</v>
      </c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</row>
    <row r="148" customFormat="false" ht="15" hidden="false" customHeight="false" outlineLevel="0" collapsed="false">
      <c r="A148" s="28" t="s">
        <v>125</v>
      </c>
      <c r="B148" s="33" t="s">
        <v>91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</row>
    <row r="149" customFormat="false" ht="15" hidden="false" customHeight="false" outlineLevel="0" collapsed="false">
      <c r="A149" s="28" t="s">
        <v>126</v>
      </c>
      <c r="B149" s="33" t="s">
        <v>93</v>
      </c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</row>
    <row r="150" customFormat="false" ht="15" hidden="false" customHeight="false" outlineLevel="0" collapsed="false">
      <c r="A150" s="28" t="s">
        <v>127</v>
      </c>
      <c r="B150" s="33" t="s">
        <v>94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</row>
    <row r="151" customFormat="false" ht="15" hidden="false" customHeight="false" outlineLevel="0" collapsed="false">
      <c r="A151" s="28" t="s">
        <v>128</v>
      </c>
      <c r="B151" s="33" t="s">
        <v>96</v>
      </c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</row>
    <row r="152" customFormat="false" ht="15" hidden="false" customHeight="false" outlineLevel="0" collapsed="false">
      <c r="A152" s="28" t="s">
        <v>129</v>
      </c>
      <c r="B152" s="33" t="s">
        <v>97</v>
      </c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</row>
    <row r="153" customFormat="false" ht="15" hidden="false" customHeight="false" outlineLevel="0" collapsed="false">
      <c r="A153" s="28" t="s">
        <v>130</v>
      </c>
      <c r="B153" s="33" t="s">
        <v>99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</row>
    <row r="154" customFormat="false" ht="15" hidden="false" customHeight="false" outlineLevel="0" collapsed="false">
      <c r="A154" s="28" t="s">
        <v>131</v>
      </c>
      <c r="B154" s="33" t="s">
        <v>101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29FCF"/>
    <pageSetUpPr fitToPage="false"/>
  </sheetPr>
  <dimension ref="A1:M14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6" width="6"/>
    <col collapsed="false" customWidth="true" hidden="false" outlineLevel="0" max="2" min="2" style="36" width="5.56"/>
    <col collapsed="false" customWidth="true" hidden="false" outlineLevel="0" max="3" min="3" style="36" width="10.71"/>
    <col collapsed="false" customWidth="true" hidden="false" outlineLevel="0" max="4" min="4" style="37" width="13.44"/>
    <col collapsed="false" customWidth="true" hidden="false" outlineLevel="0" max="5" min="5" style="38" width="9.27"/>
    <col collapsed="false" customWidth="true" hidden="false" outlineLevel="0" max="6" min="6" style="38" width="11.94"/>
    <col collapsed="false" customWidth="true" hidden="false" outlineLevel="0" max="8" min="7" style="39" width="15.65"/>
  </cols>
  <sheetData>
    <row r="1" customFormat="false" ht="12.8" hidden="false" customHeight="false" outlineLevel="0" collapsed="false">
      <c r="A1" s="40" t="s">
        <v>149</v>
      </c>
      <c r="B1" s="40" t="s">
        <v>150</v>
      </c>
      <c r="C1" s="40" t="s">
        <v>151</v>
      </c>
      <c r="D1" s="41" t="s">
        <v>152</v>
      </c>
      <c r="E1" s="42" t="s">
        <v>153</v>
      </c>
      <c r="F1" s="43" t="s">
        <v>154</v>
      </c>
      <c r="G1" s="42" t="s">
        <v>155</v>
      </c>
      <c r="H1" s="42" t="s">
        <v>156</v>
      </c>
    </row>
    <row r="2" customFormat="false" ht="12.8" hidden="false" customHeight="false" outlineLevel="0" collapsed="false">
      <c r="A2" s="44" t="n">
        <v>1</v>
      </c>
      <c r="B2" s="44" t="s">
        <v>157</v>
      </c>
      <c r="C2" s="44" t="s">
        <v>158</v>
      </c>
      <c r="D2" s="45" t="str">
        <f aca="true">OFFSET(plates!$B$4,CODE(LEFT(B2,1))-64,-1)&amp;"-"&amp;OFFSET(plates!$B$4,-1,MID(B2,2,3)+0)</f>
        <v>bc018-bc019</v>
      </c>
      <c r="E2" s="46" t="str">
        <f aca="true">OFFSET(plates!$B$4,CODE(LEFT(B2,1))-64,MID(B2,2,3)+0)&amp;""</f>
        <v/>
      </c>
      <c r="F2" s="46"/>
      <c r="G2" s="47"/>
      <c r="H2" s="47"/>
    </row>
    <row r="3" customFormat="false" ht="12.8" hidden="false" customHeight="false" outlineLevel="0" collapsed="false">
      <c r="A3" s="44" t="n">
        <v>1</v>
      </c>
      <c r="B3" s="44" t="s">
        <v>159</v>
      </c>
      <c r="C3" s="44" t="s">
        <v>158</v>
      </c>
      <c r="D3" s="45" t="str">
        <f aca="true">OFFSET(plates!$B$4,CODE(LEFT(B3,1))-64,-1)&amp;"-"&amp;OFFSET(plates!$B$4,-1,MID(B3,2,3)+0)</f>
        <v>bc060-bc019</v>
      </c>
      <c r="E3" s="46" t="str">
        <f aca="true">OFFSET(plates!$B$4,CODE(LEFT(B3,1))-64,MID(B3,2,3)+0)&amp;""</f>
        <v/>
      </c>
      <c r="F3" s="46"/>
      <c r="G3" s="47"/>
      <c r="H3" s="47"/>
    </row>
    <row r="4" customFormat="false" ht="12.8" hidden="false" customHeight="false" outlineLevel="0" collapsed="false">
      <c r="A4" s="44" t="n">
        <v>1</v>
      </c>
      <c r="B4" s="44" t="s">
        <v>160</v>
      </c>
      <c r="C4" s="44" t="s">
        <v>158</v>
      </c>
      <c r="D4" s="45" t="str">
        <f aca="true">OFFSET(plates!$B$4,CODE(LEFT(B4,1))-64,-1)&amp;"-"&amp;OFFSET(plates!$B$4,-1,MID(B4,2,3)+0)</f>
        <v>bc061-bc019</v>
      </c>
      <c r="E4" s="46" t="str">
        <f aca="true">OFFSET(plates!$B$4,CODE(LEFT(B4,1))-64,MID(B4,2,3)+0)&amp;""</f>
        <v/>
      </c>
      <c r="F4" s="46"/>
      <c r="G4" s="47"/>
      <c r="H4" s="47"/>
    </row>
    <row r="5" customFormat="false" ht="12.8" hidden="false" customHeight="false" outlineLevel="0" collapsed="false">
      <c r="A5" s="44" t="n">
        <v>1</v>
      </c>
      <c r="B5" s="44" t="s">
        <v>161</v>
      </c>
      <c r="C5" s="44" t="s">
        <v>158</v>
      </c>
      <c r="D5" s="45" t="str">
        <f aca="true">OFFSET(plates!$B$4,CODE(LEFT(B5,1))-64,-1)&amp;"-"&amp;OFFSET(plates!$B$4,-1,MID(B5,2,3)+0)</f>
        <v>bc062-bc019</v>
      </c>
      <c r="E5" s="46" t="str">
        <f aca="true">OFFSET(plates!$B$4,CODE(LEFT(B5,1))-64,MID(B5,2,3)+0)&amp;""</f>
        <v/>
      </c>
      <c r="F5" s="46"/>
      <c r="G5" s="47"/>
      <c r="H5" s="47"/>
    </row>
    <row r="6" customFormat="false" ht="12.8" hidden="false" customHeight="false" outlineLevel="0" collapsed="false">
      <c r="A6" s="44" t="n">
        <v>1</v>
      </c>
      <c r="B6" s="44" t="s">
        <v>162</v>
      </c>
      <c r="C6" s="44" t="s">
        <v>158</v>
      </c>
      <c r="D6" s="45" t="str">
        <f aca="true">OFFSET(plates!$B$4,CODE(LEFT(B6,1))-64,-1)&amp;"-"&amp;OFFSET(plates!$B$4,-1,MID(B6,2,3)+0)</f>
        <v>bc095-bc019</v>
      </c>
      <c r="E6" s="46" t="str">
        <f aca="true">OFFSET(plates!$B$4,CODE(LEFT(B6,1))-64,MID(B6,2,3)+0)&amp;""</f>
        <v/>
      </c>
      <c r="F6" s="46"/>
      <c r="G6" s="47"/>
      <c r="H6" s="47"/>
    </row>
    <row r="7" customFormat="false" ht="12.8" hidden="false" customHeight="false" outlineLevel="0" collapsed="false">
      <c r="A7" s="44" t="n">
        <v>1</v>
      </c>
      <c r="B7" s="44" t="s">
        <v>163</v>
      </c>
      <c r="C7" s="44" t="s">
        <v>158</v>
      </c>
      <c r="D7" s="45" t="str">
        <f aca="true">OFFSET(plates!$B$4,CODE(LEFT(B7,1))-64,-1)&amp;"-"&amp;OFFSET(plates!$B$4,-1,MID(B7,2,3)+0)</f>
        <v>bc139-bc019</v>
      </c>
      <c r="E7" s="46" t="str">
        <f aca="true">OFFSET(plates!$B$4,CODE(LEFT(B7,1))-64,MID(B7,2,3)+0)&amp;""</f>
        <v/>
      </c>
      <c r="F7" s="46"/>
      <c r="G7" s="47"/>
      <c r="H7" s="47"/>
    </row>
    <row r="8" customFormat="false" ht="12.8" hidden="false" customHeight="false" outlineLevel="0" collapsed="false">
      <c r="A8" s="44" t="n">
        <v>1</v>
      </c>
      <c r="B8" s="44" t="s">
        <v>164</v>
      </c>
      <c r="C8" s="44" t="s">
        <v>158</v>
      </c>
      <c r="D8" s="45" t="str">
        <f aca="true">OFFSET(plates!$B$4,CODE(LEFT(B8,1))-64,-1)&amp;"-"&amp;OFFSET(plates!$B$4,-1,MID(B8,2,3)+0)</f>
        <v>bc148-bc019</v>
      </c>
      <c r="E8" s="46" t="str">
        <f aca="true">OFFSET(plates!$B$4,CODE(LEFT(B8,1))-64,MID(B8,2,3)+0)&amp;""</f>
        <v/>
      </c>
      <c r="F8" s="46"/>
      <c r="G8" s="47"/>
      <c r="H8" s="47"/>
    </row>
    <row r="9" customFormat="false" ht="12.8" hidden="false" customHeight="false" outlineLevel="0" collapsed="false">
      <c r="A9" s="44" t="n">
        <v>1</v>
      </c>
      <c r="B9" s="44" t="s">
        <v>165</v>
      </c>
      <c r="C9" s="44" t="s">
        <v>158</v>
      </c>
      <c r="D9" s="45" t="str">
        <f aca="true">OFFSET(plates!$B$4,CODE(LEFT(B9,1))-64,-1)&amp;"-"&amp;OFFSET(plates!$B$4,-1,MID(B9,2,3)+0)</f>
        <v>bc157-bc019</v>
      </c>
      <c r="E9" s="46" t="str">
        <f aca="true">OFFSET(plates!$B$4,CODE(LEFT(B9,1))-64,MID(B9,2,3)+0)&amp;""</f>
        <v/>
      </c>
      <c r="F9" s="46"/>
      <c r="G9" s="47"/>
      <c r="H9" s="47"/>
    </row>
    <row r="10" customFormat="false" ht="12.8" hidden="false" customHeight="false" outlineLevel="0" collapsed="false">
      <c r="A10" s="44" t="n">
        <v>1</v>
      </c>
      <c r="B10" s="44" t="s">
        <v>166</v>
      </c>
      <c r="C10" s="44" t="s">
        <v>158</v>
      </c>
      <c r="D10" s="45" t="str">
        <f aca="true">OFFSET(plates!$B$4,CODE(LEFT(B10,1))-64,-1)&amp;"-"&amp;OFFSET(plates!$B$4,-1,MID(B10,2,3)+0)</f>
        <v>bc018-bc062</v>
      </c>
      <c r="E10" s="46" t="str">
        <f aca="true">OFFSET(plates!$B$4,CODE(LEFT(B10,1))-64,MID(B10,2,3)+0)&amp;""</f>
        <v/>
      </c>
      <c r="F10" s="46"/>
      <c r="G10" s="47"/>
      <c r="H10" s="47"/>
    </row>
    <row r="11" customFormat="false" ht="12.8" hidden="false" customHeight="false" outlineLevel="0" collapsed="false">
      <c r="A11" s="44" t="n">
        <v>1</v>
      </c>
      <c r="B11" s="44" t="s">
        <v>167</v>
      </c>
      <c r="C11" s="44" t="s">
        <v>158</v>
      </c>
      <c r="D11" s="45" t="str">
        <f aca="true">OFFSET(plates!$B$4,CODE(LEFT(B11,1))-64,-1)&amp;"-"&amp;OFFSET(plates!$B$4,-1,MID(B11,2,3)+0)</f>
        <v>bc060-bc062</v>
      </c>
      <c r="E11" s="46" t="str">
        <f aca="true">OFFSET(plates!$B$4,CODE(LEFT(B11,1))-64,MID(B11,2,3)+0)&amp;""</f>
        <v/>
      </c>
      <c r="F11" s="46"/>
      <c r="G11" s="47"/>
      <c r="H11" s="47"/>
    </row>
    <row r="12" customFormat="false" ht="12.8" hidden="false" customHeight="false" outlineLevel="0" collapsed="false">
      <c r="A12" s="44" t="n">
        <v>1</v>
      </c>
      <c r="B12" s="44" t="s">
        <v>168</v>
      </c>
      <c r="C12" s="44" t="s">
        <v>158</v>
      </c>
      <c r="D12" s="45" t="str">
        <f aca="true">OFFSET(plates!$B$4,CODE(LEFT(B12,1))-64,-1)&amp;"-"&amp;OFFSET(plates!$B$4,-1,MID(B12,2,3)+0)</f>
        <v>bc061-bc062</v>
      </c>
      <c r="E12" s="46" t="str">
        <f aca="true">OFFSET(plates!$B$4,CODE(LEFT(B12,1))-64,MID(B12,2,3)+0)&amp;""</f>
        <v/>
      </c>
      <c r="F12" s="46"/>
      <c r="G12" s="47"/>
      <c r="H12" s="47"/>
    </row>
    <row r="13" customFormat="false" ht="12.8" hidden="false" customHeight="false" outlineLevel="0" collapsed="false">
      <c r="A13" s="44" t="n">
        <v>1</v>
      </c>
      <c r="B13" s="44" t="s">
        <v>169</v>
      </c>
      <c r="C13" s="44" t="s">
        <v>158</v>
      </c>
      <c r="D13" s="45" t="str">
        <f aca="true">OFFSET(plates!$B$4,CODE(LEFT(B13,1))-64,-1)&amp;"-"&amp;OFFSET(plates!$B$4,-1,MID(B13,2,3)+0)</f>
        <v>bc062-bc062</v>
      </c>
      <c r="E13" s="46" t="str">
        <f aca="true">OFFSET(plates!$B$4,CODE(LEFT(B13,1))-64,MID(B13,2,3)+0)&amp;""</f>
        <v/>
      </c>
      <c r="F13" s="46"/>
      <c r="G13" s="47"/>
      <c r="H13" s="47"/>
    </row>
    <row r="14" customFormat="false" ht="12.8" hidden="false" customHeight="false" outlineLevel="0" collapsed="false">
      <c r="A14" s="44" t="n">
        <v>1</v>
      </c>
      <c r="B14" s="44" t="s">
        <v>170</v>
      </c>
      <c r="C14" s="44" t="s">
        <v>158</v>
      </c>
      <c r="D14" s="45" t="str">
        <f aca="true">OFFSET(plates!$B$4,CODE(LEFT(B14,1))-64,-1)&amp;"-"&amp;OFFSET(plates!$B$4,-1,MID(B14,2,3)+0)</f>
        <v>bc095-bc062</v>
      </c>
      <c r="E14" s="46" t="str">
        <f aca="true">OFFSET(plates!$B$4,CODE(LEFT(B14,1))-64,MID(B14,2,3)+0)&amp;""</f>
        <v/>
      </c>
      <c r="F14" s="46"/>
      <c r="G14" s="47"/>
      <c r="H14" s="47"/>
    </row>
    <row r="15" customFormat="false" ht="12.8" hidden="false" customHeight="false" outlineLevel="0" collapsed="false">
      <c r="A15" s="44" t="n">
        <v>1</v>
      </c>
      <c r="B15" s="44" t="s">
        <v>171</v>
      </c>
      <c r="C15" s="44" t="s">
        <v>158</v>
      </c>
      <c r="D15" s="45" t="str">
        <f aca="true">OFFSET(plates!$B$4,CODE(LEFT(B15,1))-64,-1)&amp;"-"&amp;OFFSET(plates!$B$4,-1,MID(B15,2,3)+0)</f>
        <v>bc139-bc062</v>
      </c>
      <c r="E15" s="46" t="str">
        <f aca="true">OFFSET(plates!$B$4,CODE(LEFT(B15,1))-64,MID(B15,2,3)+0)&amp;""</f>
        <v/>
      </c>
      <c r="F15" s="46"/>
      <c r="G15" s="47"/>
      <c r="H15" s="47"/>
    </row>
    <row r="16" customFormat="false" ht="12.8" hidden="false" customHeight="false" outlineLevel="0" collapsed="false">
      <c r="A16" s="44" t="n">
        <v>1</v>
      </c>
      <c r="B16" s="44" t="s">
        <v>172</v>
      </c>
      <c r="C16" s="44" t="s">
        <v>158</v>
      </c>
      <c r="D16" s="45" t="str">
        <f aca="true">OFFSET(plates!$B$4,CODE(LEFT(B16,1))-64,-1)&amp;"-"&amp;OFFSET(plates!$B$4,-1,MID(B16,2,3)+0)</f>
        <v>bc148-bc062</v>
      </c>
      <c r="E16" s="46" t="str">
        <f aca="true">OFFSET(plates!$B$4,CODE(LEFT(B16,1))-64,MID(B16,2,3)+0)&amp;""</f>
        <v/>
      </c>
      <c r="F16" s="46"/>
      <c r="G16" s="47"/>
      <c r="H16" s="47"/>
    </row>
    <row r="17" customFormat="false" ht="12.8" hidden="false" customHeight="false" outlineLevel="0" collapsed="false">
      <c r="A17" s="44" t="n">
        <v>1</v>
      </c>
      <c r="B17" s="44" t="s">
        <v>173</v>
      </c>
      <c r="C17" s="44" t="s">
        <v>158</v>
      </c>
      <c r="D17" s="45" t="str">
        <f aca="true">OFFSET(plates!$B$4,CODE(LEFT(B17,1))-64,-1)&amp;"-"&amp;OFFSET(plates!$B$4,-1,MID(B17,2,3)+0)</f>
        <v>bc157-bc062</v>
      </c>
      <c r="E17" s="46" t="str">
        <f aca="true">OFFSET(plates!$B$4,CODE(LEFT(B17,1))-64,MID(B17,2,3)+0)&amp;""</f>
        <v/>
      </c>
      <c r="F17" s="46"/>
      <c r="G17" s="47"/>
      <c r="H17" s="47"/>
    </row>
    <row r="18" customFormat="false" ht="12.8" hidden="false" customHeight="false" outlineLevel="0" collapsed="false">
      <c r="A18" s="44" t="n">
        <v>1</v>
      </c>
      <c r="B18" s="44" t="s">
        <v>174</v>
      </c>
      <c r="C18" s="44" t="s">
        <v>158</v>
      </c>
      <c r="D18" s="45" t="str">
        <f aca="true">OFFSET(plates!$B$4,CODE(LEFT(B18,1))-64,-1)&amp;"-"&amp;OFFSET(plates!$B$4,-1,MID(B18,2,3)+0)</f>
        <v>bc018-bc065</v>
      </c>
      <c r="E18" s="46" t="str">
        <f aca="true">OFFSET(plates!$B$4,CODE(LEFT(B18,1))-64,MID(B18,2,3)+0)&amp;""</f>
        <v/>
      </c>
      <c r="F18" s="46"/>
      <c r="G18" s="47"/>
      <c r="H18" s="47"/>
    </row>
    <row r="19" customFormat="false" ht="12.8" hidden="false" customHeight="false" outlineLevel="0" collapsed="false">
      <c r="A19" s="44" t="n">
        <v>1</v>
      </c>
      <c r="B19" s="44" t="s">
        <v>175</v>
      </c>
      <c r="C19" s="44" t="s">
        <v>158</v>
      </c>
      <c r="D19" s="45" t="str">
        <f aca="true">OFFSET(plates!$B$4,CODE(LEFT(B19,1))-64,-1)&amp;"-"&amp;OFFSET(plates!$B$4,-1,MID(B19,2,3)+0)</f>
        <v>bc060-bc065</v>
      </c>
      <c r="E19" s="46" t="str">
        <f aca="true">OFFSET(plates!$B$4,CODE(LEFT(B19,1))-64,MID(B19,2,3)+0)&amp;""</f>
        <v/>
      </c>
      <c r="F19" s="46"/>
      <c r="G19" s="47"/>
      <c r="H19" s="47"/>
    </row>
    <row r="20" customFormat="false" ht="12.8" hidden="false" customHeight="false" outlineLevel="0" collapsed="false">
      <c r="A20" s="44" t="n">
        <v>1</v>
      </c>
      <c r="B20" s="44" t="s">
        <v>176</v>
      </c>
      <c r="C20" s="44" t="s">
        <v>158</v>
      </c>
      <c r="D20" s="45" t="str">
        <f aca="true">OFFSET(plates!$B$4,CODE(LEFT(B20,1))-64,-1)&amp;"-"&amp;OFFSET(plates!$B$4,-1,MID(B20,2,3)+0)</f>
        <v>bc061-bc065</v>
      </c>
      <c r="E20" s="46" t="str">
        <f aca="true">OFFSET(plates!$B$4,CODE(LEFT(B20,1))-64,MID(B20,2,3)+0)&amp;""</f>
        <v/>
      </c>
      <c r="F20" s="46"/>
      <c r="G20" s="47"/>
      <c r="H20" s="47"/>
    </row>
    <row r="21" customFormat="false" ht="12.8" hidden="false" customHeight="false" outlineLevel="0" collapsed="false">
      <c r="A21" s="44" t="n">
        <v>1</v>
      </c>
      <c r="B21" s="44" t="s">
        <v>177</v>
      </c>
      <c r="C21" s="44" t="s">
        <v>158</v>
      </c>
      <c r="D21" s="45" t="str">
        <f aca="true">OFFSET(plates!$B$4,CODE(LEFT(B21,1))-64,-1)&amp;"-"&amp;OFFSET(plates!$B$4,-1,MID(B21,2,3)+0)</f>
        <v>bc062-bc065</v>
      </c>
      <c r="E21" s="46" t="str">
        <f aca="true">OFFSET(plates!$B$4,CODE(LEFT(B21,1))-64,MID(B21,2,3)+0)&amp;""</f>
        <v/>
      </c>
      <c r="F21" s="46"/>
      <c r="G21" s="47"/>
      <c r="H21" s="47"/>
    </row>
    <row r="22" customFormat="false" ht="12.8" hidden="false" customHeight="false" outlineLevel="0" collapsed="false">
      <c r="A22" s="44" t="n">
        <v>1</v>
      </c>
      <c r="B22" s="44" t="s">
        <v>178</v>
      </c>
      <c r="C22" s="44" t="s">
        <v>158</v>
      </c>
      <c r="D22" s="45" t="str">
        <f aca="true">OFFSET(plates!$B$4,CODE(LEFT(B22,1))-64,-1)&amp;"-"&amp;OFFSET(plates!$B$4,-1,MID(B22,2,3)+0)</f>
        <v>bc095-bc065</v>
      </c>
      <c r="E22" s="46" t="str">
        <f aca="true">OFFSET(plates!$B$4,CODE(LEFT(B22,1))-64,MID(B22,2,3)+0)&amp;""</f>
        <v/>
      </c>
      <c r="F22" s="46"/>
      <c r="G22" s="47"/>
      <c r="H22" s="47"/>
    </row>
    <row r="23" customFormat="false" ht="12.8" hidden="false" customHeight="false" outlineLevel="0" collapsed="false">
      <c r="A23" s="44" t="n">
        <v>1</v>
      </c>
      <c r="B23" s="44" t="s">
        <v>179</v>
      </c>
      <c r="C23" s="44" t="s">
        <v>158</v>
      </c>
      <c r="D23" s="45" t="str">
        <f aca="true">OFFSET(plates!$B$4,CODE(LEFT(B23,1))-64,-1)&amp;"-"&amp;OFFSET(plates!$B$4,-1,MID(B23,2,3)+0)</f>
        <v>bc139-bc065</v>
      </c>
      <c r="E23" s="46" t="str">
        <f aca="true">OFFSET(plates!$B$4,CODE(LEFT(B23,1))-64,MID(B23,2,3)+0)&amp;""</f>
        <v/>
      </c>
      <c r="F23" s="46"/>
      <c r="G23" s="47"/>
      <c r="H23" s="47"/>
    </row>
    <row r="24" customFormat="false" ht="12.8" hidden="false" customHeight="false" outlineLevel="0" collapsed="false">
      <c r="A24" s="44" t="n">
        <v>1</v>
      </c>
      <c r="B24" s="44" t="s">
        <v>180</v>
      </c>
      <c r="C24" s="44" t="s">
        <v>158</v>
      </c>
      <c r="D24" s="45" t="str">
        <f aca="true">OFFSET(plates!$B$4,CODE(LEFT(B24,1))-64,-1)&amp;"-"&amp;OFFSET(plates!$B$4,-1,MID(B24,2,3)+0)</f>
        <v>bc148-bc065</v>
      </c>
      <c r="E24" s="46" t="str">
        <f aca="true">OFFSET(plates!$B$4,CODE(LEFT(B24,1))-64,MID(B24,2,3)+0)&amp;""</f>
        <v/>
      </c>
      <c r="F24" s="46"/>
      <c r="G24" s="47"/>
      <c r="H24" s="47"/>
    </row>
    <row r="25" customFormat="false" ht="12.8" hidden="false" customHeight="false" outlineLevel="0" collapsed="false">
      <c r="A25" s="44" t="n">
        <v>1</v>
      </c>
      <c r="B25" s="44" t="s">
        <v>181</v>
      </c>
      <c r="C25" s="44" t="s">
        <v>158</v>
      </c>
      <c r="D25" s="45" t="str">
        <f aca="true">OFFSET(plates!$B$4,CODE(LEFT(B25,1))-64,-1)&amp;"-"&amp;OFFSET(plates!$B$4,-1,MID(B25,2,3)+0)</f>
        <v>bc157-bc065</v>
      </c>
      <c r="E25" s="46" t="str">
        <f aca="true">OFFSET(plates!$B$4,CODE(LEFT(B25,1))-64,MID(B25,2,3)+0)&amp;""</f>
        <v/>
      </c>
      <c r="F25" s="46"/>
      <c r="G25" s="47"/>
      <c r="H25" s="47"/>
    </row>
    <row r="26" customFormat="false" ht="12.8" hidden="false" customHeight="false" outlineLevel="0" collapsed="false">
      <c r="A26" s="44" t="n">
        <v>1</v>
      </c>
      <c r="B26" s="44" t="s">
        <v>182</v>
      </c>
      <c r="C26" s="44" t="s">
        <v>158</v>
      </c>
      <c r="D26" s="45" t="str">
        <f aca="true">OFFSET(plates!$B$4,CODE(LEFT(B26,1))-64,-1)&amp;"-"&amp;OFFSET(plates!$B$4,-1,MID(B26,2,3)+0)</f>
        <v>bc018-bc082</v>
      </c>
      <c r="E26" s="46" t="str">
        <f aca="true">OFFSET(plates!$B$4,CODE(LEFT(B26,1))-64,MID(B26,2,3)+0)&amp;""</f>
        <v/>
      </c>
      <c r="F26" s="46"/>
      <c r="G26" s="47"/>
      <c r="H26" s="47"/>
    </row>
    <row r="27" customFormat="false" ht="12.8" hidden="false" customHeight="false" outlineLevel="0" collapsed="false">
      <c r="A27" s="44" t="n">
        <v>1</v>
      </c>
      <c r="B27" s="44" t="s">
        <v>183</v>
      </c>
      <c r="C27" s="44" t="s">
        <v>158</v>
      </c>
      <c r="D27" s="45" t="str">
        <f aca="true">OFFSET(plates!$B$4,CODE(LEFT(B27,1))-64,-1)&amp;"-"&amp;OFFSET(plates!$B$4,-1,MID(B27,2,3)+0)</f>
        <v>bc060-bc082</v>
      </c>
      <c r="E27" s="46" t="str">
        <f aca="true">OFFSET(plates!$B$4,CODE(LEFT(B27,1))-64,MID(B27,2,3)+0)&amp;""</f>
        <v/>
      </c>
      <c r="F27" s="46"/>
      <c r="G27" s="47"/>
      <c r="H27" s="47"/>
    </row>
    <row r="28" customFormat="false" ht="12.8" hidden="false" customHeight="false" outlineLevel="0" collapsed="false">
      <c r="A28" s="44" t="n">
        <v>1</v>
      </c>
      <c r="B28" s="44" t="s">
        <v>184</v>
      </c>
      <c r="C28" s="44" t="s">
        <v>158</v>
      </c>
      <c r="D28" s="45" t="str">
        <f aca="true">OFFSET(plates!$B$4,CODE(LEFT(B28,1))-64,-1)&amp;"-"&amp;OFFSET(plates!$B$4,-1,MID(B28,2,3)+0)</f>
        <v>bc061-bc082</v>
      </c>
      <c r="E28" s="46" t="str">
        <f aca="true">OFFSET(plates!$B$4,CODE(LEFT(B28,1))-64,MID(B28,2,3)+0)&amp;""</f>
        <v/>
      </c>
      <c r="F28" s="46"/>
      <c r="G28" s="47"/>
      <c r="H28" s="47"/>
    </row>
    <row r="29" customFormat="false" ht="12.8" hidden="false" customHeight="false" outlineLevel="0" collapsed="false">
      <c r="A29" s="44" t="n">
        <v>1</v>
      </c>
      <c r="B29" s="44" t="s">
        <v>185</v>
      </c>
      <c r="C29" s="44" t="s">
        <v>158</v>
      </c>
      <c r="D29" s="45" t="str">
        <f aca="true">OFFSET(plates!$B$4,CODE(LEFT(B29,1))-64,-1)&amp;"-"&amp;OFFSET(plates!$B$4,-1,MID(B29,2,3)+0)</f>
        <v>bc062-bc082</v>
      </c>
      <c r="E29" s="46" t="str">
        <f aca="true">OFFSET(plates!$B$4,CODE(LEFT(B29,1))-64,MID(B29,2,3)+0)&amp;""</f>
        <v/>
      </c>
      <c r="F29" s="46"/>
      <c r="G29" s="47"/>
      <c r="H29" s="47"/>
    </row>
    <row r="30" customFormat="false" ht="12.8" hidden="false" customHeight="false" outlineLevel="0" collapsed="false">
      <c r="A30" s="44" t="n">
        <v>1</v>
      </c>
      <c r="B30" s="44" t="s">
        <v>186</v>
      </c>
      <c r="C30" s="44" t="s">
        <v>158</v>
      </c>
      <c r="D30" s="45" t="str">
        <f aca="true">OFFSET(plates!$B$4,CODE(LEFT(B30,1))-64,-1)&amp;"-"&amp;OFFSET(plates!$B$4,-1,MID(B30,2,3)+0)</f>
        <v>bc095-bc082</v>
      </c>
      <c r="E30" s="46" t="str">
        <f aca="true">OFFSET(plates!$B$4,CODE(LEFT(B30,1))-64,MID(B30,2,3)+0)&amp;""</f>
        <v/>
      </c>
      <c r="F30" s="46"/>
      <c r="G30" s="47"/>
      <c r="H30" s="47"/>
    </row>
    <row r="31" customFormat="false" ht="12.8" hidden="false" customHeight="false" outlineLevel="0" collapsed="false">
      <c r="A31" s="44" t="n">
        <v>1</v>
      </c>
      <c r="B31" s="44" t="s">
        <v>187</v>
      </c>
      <c r="C31" s="44" t="s">
        <v>158</v>
      </c>
      <c r="D31" s="45" t="str">
        <f aca="true">OFFSET(plates!$B$4,CODE(LEFT(B31,1))-64,-1)&amp;"-"&amp;OFFSET(plates!$B$4,-1,MID(B31,2,3)+0)</f>
        <v>bc139-bc082</v>
      </c>
      <c r="E31" s="46" t="str">
        <f aca="true">OFFSET(plates!$B$4,CODE(LEFT(B31,1))-64,MID(B31,2,3)+0)&amp;""</f>
        <v/>
      </c>
      <c r="F31" s="46"/>
      <c r="G31" s="47"/>
      <c r="H31" s="47"/>
    </row>
    <row r="32" customFormat="false" ht="12.8" hidden="false" customHeight="false" outlineLevel="0" collapsed="false">
      <c r="A32" s="44" t="n">
        <v>1</v>
      </c>
      <c r="B32" s="44" t="s">
        <v>188</v>
      </c>
      <c r="C32" s="44" t="s">
        <v>158</v>
      </c>
      <c r="D32" s="45" t="str">
        <f aca="true">OFFSET(plates!$B$4,CODE(LEFT(B32,1))-64,-1)&amp;"-"&amp;OFFSET(plates!$B$4,-1,MID(B32,2,3)+0)</f>
        <v>bc148-bc082</v>
      </c>
      <c r="E32" s="46" t="str">
        <f aca="true">OFFSET(plates!$B$4,CODE(LEFT(B32,1))-64,MID(B32,2,3)+0)&amp;""</f>
        <v/>
      </c>
      <c r="F32" s="46"/>
      <c r="G32" s="47"/>
      <c r="H32" s="47"/>
    </row>
    <row r="33" customFormat="false" ht="12.8" hidden="false" customHeight="false" outlineLevel="0" collapsed="false">
      <c r="A33" s="44" t="n">
        <v>1</v>
      </c>
      <c r="B33" s="44" t="s">
        <v>189</v>
      </c>
      <c r="C33" s="44" t="s">
        <v>158</v>
      </c>
      <c r="D33" s="45" t="str">
        <f aca="true">OFFSET(plates!$B$4,CODE(LEFT(B33,1))-64,-1)&amp;"-"&amp;OFFSET(plates!$B$4,-1,MID(B33,2,3)+0)</f>
        <v>bc157-bc082</v>
      </c>
      <c r="E33" s="46" t="str">
        <f aca="true">OFFSET(plates!$B$4,CODE(LEFT(B33,1))-64,MID(B33,2,3)+0)&amp;""</f>
        <v/>
      </c>
      <c r="F33" s="46"/>
      <c r="G33" s="47"/>
      <c r="H33" s="47"/>
    </row>
    <row r="34" customFormat="false" ht="12.8" hidden="false" customHeight="false" outlineLevel="0" collapsed="false">
      <c r="A34" s="44" t="n">
        <v>1</v>
      </c>
      <c r="B34" s="44" t="s">
        <v>190</v>
      </c>
      <c r="C34" s="44" t="s">
        <v>158</v>
      </c>
      <c r="D34" s="45" t="str">
        <f aca="true">OFFSET(plates!$B$4,CODE(LEFT(B34,1))-64,-1)&amp;"-"&amp;OFFSET(plates!$B$4,-1,MID(B34,2,3)+0)</f>
        <v>bc018-bc120</v>
      </c>
      <c r="E34" s="46" t="str">
        <f aca="true">OFFSET(plates!$B$4,CODE(LEFT(B34,1))-64,MID(B34,2,3)+0)&amp;""</f>
        <v/>
      </c>
      <c r="F34" s="46"/>
      <c r="G34" s="47"/>
      <c r="H34" s="47"/>
    </row>
    <row r="35" customFormat="false" ht="12.8" hidden="false" customHeight="false" outlineLevel="0" collapsed="false">
      <c r="A35" s="44" t="n">
        <v>1</v>
      </c>
      <c r="B35" s="44" t="s">
        <v>191</v>
      </c>
      <c r="C35" s="44" t="s">
        <v>158</v>
      </c>
      <c r="D35" s="45" t="str">
        <f aca="true">OFFSET(plates!$B$4,CODE(LEFT(B35,1))-64,-1)&amp;"-"&amp;OFFSET(plates!$B$4,-1,MID(B35,2,3)+0)</f>
        <v>bc060-bc120</v>
      </c>
      <c r="E35" s="46" t="str">
        <f aca="true">OFFSET(plates!$B$4,CODE(LEFT(B35,1))-64,MID(B35,2,3)+0)&amp;""</f>
        <v/>
      </c>
      <c r="F35" s="46"/>
      <c r="G35" s="47"/>
      <c r="H35" s="47"/>
    </row>
    <row r="36" customFormat="false" ht="12.8" hidden="false" customHeight="false" outlineLevel="0" collapsed="false">
      <c r="A36" s="44" t="n">
        <v>1</v>
      </c>
      <c r="B36" s="44" t="s">
        <v>192</v>
      </c>
      <c r="C36" s="44" t="s">
        <v>158</v>
      </c>
      <c r="D36" s="45" t="str">
        <f aca="true">OFFSET(plates!$B$4,CODE(LEFT(B36,1))-64,-1)&amp;"-"&amp;OFFSET(plates!$B$4,-1,MID(B36,2,3)+0)</f>
        <v>bc061-bc120</v>
      </c>
      <c r="E36" s="46" t="str">
        <f aca="true">OFFSET(plates!$B$4,CODE(LEFT(B36,1))-64,MID(B36,2,3)+0)&amp;""</f>
        <v/>
      </c>
      <c r="F36" s="46"/>
      <c r="G36" s="47"/>
      <c r="H36" s="47"/>
    </row>
    <row r="37" customFormat="false" ht="12.8" hidden="false" customHeight="false" outlineLevel="0" collapsed="false">
      <c r="A37" s="44" t="n">
        <v>1</v>
      </c>
      <c r="B37" s="44" t="s">
        <v>193</v>
      </c>
      <c r="C37" s="44" t="s">
        <v>158</v>
      </c>
      <c r="D37" s="45" t="str">
        <f aca="true">OFFSET(plates!$B$4,CODE(LEFT(B37,1))-64,-1)&amp;"-"&amp;OFFSET(plates!$B$4,-1,MID(B37,2,3)+0)</f>
        <v>bc062-bc120</v>
      </c>
      <c r="E37" s="46" t="str">
        <f aca="true">OFFSET(plates!$B$4,CODE(LEFT(B37,1))-64,MID(B37,2,3)+0)&amp;""</f>
        <v/>
      </c>
      <c r="F37" s="46"/>
      <c r="G37" s="47"/>
      <c r="H37" s="47"/>
    </row>
    <row r="38" customFormat="false" ht="12.8" hidden="false" customHeight="false" outlineLevel="0" collapsed="false">
      <c r="A38" s="44" t="n">
        <v>1</v>
      </c>
      <c r="B38" s="44" t="s">
        <v>194</v>
      </c>
      <c r="C38" s="44" t="s">
        <v>158</v>
      </c>
      <c r="D38" s="45" t="str">
        <f aca="true">OFFSET(plates!$B$4,CODE(LEFT(B38,1))-64,-1)&amp;"-"&amp;OFFSET(plates!$B$4,-1,MID(B38,2,3)+0)</f>
        <v>bc095-bc120</v>
      </c>
      <c r="E38" s="46" t="str">
        <f aca="true">OFFSET(plates!$B$4,CODE(LEFT(B38,1))-64,MID(B38,2,3)+0)&amp;""</f>
        <v/>
      </c>
      <c r="F38" s="46"/>
      <c r="G38" s="47"/>
      <c r="H38" s="47"/>
    </row>
    <row r="39" customFormat="false" ht="12.8" hidden="false" customHeight="false" outlineLevel="0" collapsed="false">
      <c r="A39" s="44" t="n">
        <v>1</v>
      </c>
      <c r="B39" s="44" t="s">
        <v>195</v>
      </c>
      <c r="C39" s="44" t="s">
        <v>158</v>
      </c>
      <c r="D39" s="45" t="str">
        <f aca="true">OFFSET(plates!$B$4,CODE(LEFT(B39,1))-64,-1)&amp;"-"&amp;OFFSET(plates!$B$4,-1,MID(B39,2,3)+0)</f>
        <v>bc139-bc120</v>
      </c>
      <c r="E39" s="46" t="str">
        <f aca="true">OFFSET(plates!$B$4,CODE(LEFT(B39,1))-64,MID(B39,2,3)+0)&amp;""</f>
        <v/>
      </c>
      <c r="F39" s="46"/>
      <c r="G39" s="47"/>
      <c r="H39" s="47"/>
    </row>
    <row r="40" customFormat="false" ht="12.8" hidden="false" customHeight="false" outlineLevel="0" collapsed="false">
      <c r="A40" s="44" t="n">
        <v>1</v>
      </c>
      <c r="B40" s="44" t="s">
        <v>196</v>
      </c>
      <c r="C40" s="44" t="s">
        <v>158</v>
      </c>
      <c r="D40" s="45" t="str">
        <f aca="true">OFFSET(plates!$B$4,CODE(LEFT(B40,1))-64,-1)&amp;"-"&amp;OFFSET(plates!$B$4,-1,MID(B40,2,3)+0)</f>
        <v>bc148-bc120</v>
      </c>
      <c r="E40" s="46" t="str">
        <f aca="true">OFFSET(plates!$B$4,CODE(LEFT(B40,1))-64,MID(B40,2,3)+0)&amp;""</f>
        <v/>
      </c>
      <c r="F40" s="46"/>
      <c r="G40" s="47"/>
      <c r="H40" s="47"/>
    </row>
    <row r="41" customFormat="false" ht="12.8" hidden="false" customHeight="false" outlineLevel="0" collapsed="false">
      <c r="A41" s="44" t="n">
        <v>1</v>
      </c>
      <c r="B41" s="44" t="s">
        <v>197</v>
      </c>
      <c r="C41" s="44" t="s">
        <v>158</v>
      </c>
      <c r="D41" s="45" t="str">
        <f aca="true">OFFSET(plates!$B$4,CODE(LEFT(B41,1))-64,-1)&amp;"-"&amp;OFFSET(plates!$B$4,-1,MID(B41,2,3)+0)</f>
        <v>bc157-bc120</v>
      </c>
      <c r="E41" s="46" t="str">
        <f aca="true">OFFSET(plates!$B$4,CODE(LEFT(B41,1))-64,MID(B41,2,3)+0)&amp;""</f>
        <v/>
      </c>
      <c r="F41" s="46"/>
      <c r="G41" s="47"/>
      <c r="H41" s="47"/>
    </row>
    <row r="42" customFormat="false" ht="12.8" hidden="false" customHeight="false" outlineLevel="0" collapsed="false">
      <c r="A42" s="44" t="n">
        <v>1</v>
      </c>
      <c r="B42" s="44" t="s">
        <v>198</v>
      </c>
      <c r="C42" s="44" t="s">
        <v>158</v>
      </c>
      <c r="D42" s="45" t="str">
        <f aca="true">OFFSET(plates!$B$4,CODE(LEFT(B42,1))-64,-1)&amp;"-"&amp;OFFSET(plates!$B$4,-1,MID(B42,2,3)+0)</f>
        <v>bc018-bc139</v>
      </c>
      <c r="E42" s="46" t="str">
        <f aca="true">OFFSET(plates!$B$4,CODE(LEFT(B42,1))-64,MID(B42,2,3)+0)&amp;""</f>
        <v/>
      </c>
      <c r="F42" s="46"/>
      <c r="G42" s="47"/>
      <c r="H42" s="47"/>
    </row>
    <row r="43" customFormat="false" ht="12.8" hidden="false" customHeight="false" outlineLevel="0" collapsed="false">
      <c r="A43" s="44" t="n">
        <v>1</v>
      </c>
      <c r="B43" s="44" t="s">
        <v>199</v>
      </c>
      <c r="C43" s="44" t="s">
        <v>158</v>
      </c>
      <c r="D43" s="45" t="str">
        <f aca="true">OFFSET(plates!$B$4,CODE(LEFT(B43,1))-64,-1)&amp;"-"&amp;OFFSET(plates!$B$4,-1,MID(B43,2,3)+0)</f>
        <v>bc060-bc139</v>
      </c>
      <c r="E43" s="46" t="str">
        <f aca="true">OFFSET(plates!$B$4,CODE(LEFT(B43,1))-64,MID(B43,2,3)+0)&amp;""</f>
        <v/>
      </c>
      <c r="F43" s="46"/>
      <c r="G43" s="47"/>
      <c r="H43" s="47"/>
    </row>
    <row r="44" customFormat="false" ht="12.8" hidden="false" customHeight="false" outlineLevel="0" collapsed="false">
      <c r="A44" s="44" t="n">
        <v>1</v>
      </c>
      <c r="B44" s="44" t="s">
        <v>200</v>
      </c>
      <c r="C44" s="44" t="s">
        <v>158</v>
      </c>
      <c r="D44" s="45" t="str">
        <f aca="true">OFFSET(plates!$B$4,CODE(LEFT(B44,1))-64,-1)&amp;"-"&amp;OFFSET(plates!$B$4,-1,MID(B44,2,3)+0)</f>
        <v>bc061-bc139</v>
      </c>
      <c r="E44" s="46" t="str">
        <f aca="true">OFFSET(plates!$B$4,CODE(LEFT(B44,1))-64,MID(B44,2,3)+0)&amp;""</f>
        <v/>
      </c>
      <c r="F44" s="46"/>
      <c r="G44" s="47"/>
      <c r="H44" s="47"/>
    </row>
    <row r="45" customFormat="false" ht="12.8" hidden="false" customHeight="false" outlineLevel="0" collapsed="false">
      <c r="A45" s="44" t="n">
        <v>1</v>
      </c>
      <c r="B45" s="44" t="s">
        <v>201</v>
      </c>
      <c r="C45" s="44" t="s">
        <v>158</v>
      </c>
      <c r="D45" s="45" t="str">
        <f aca="true">OFFSET(plates!$B$4,CODE(LEFT(B45,1))-64,-1)&amp;"-"&amp;OFFSET(plates!$B$4,-1,MID(B45,2,3)+0)</f>
        <v>bc062-bc139</v>
      </c>
      <c r="E45" s="46" t="str">
        <f aca="true">OFFSET(plates!$B$4,CODE(LEFT(B45,1))-64,MID(B45,2,3)+0)&amp;""</f>
        <v/>
      </c>
      <c r="F45" s="46"/>
      <c r="G45" s="47"/>
      <c r="H45" s="47"/>
    </row>
    <row r="46" customFormat="false" ht="12.8" hidden="false" customHeight="false" outlineLevel="0" collapsed="false">
      <c r="A46" s="44" t="n">
        <v>1</v>
      </c>
      <c r="B46" s="44" t="s">
        <v>202</v>
      </c>
      <c r="C46" s="44" t="s">
        <v>158</v>
      </c>
      <c r="D46" s="45" t="str">
        <f aca="true">OFFSET(plates!$B$4,CODE(LEFT(B46,1))-64,-1)&amp;"-"&amp;OFFSET(plates!$B$4,-1,MID(B46,2,3)+0)</f>
        <v>bc095-bc139</v>
      </c>
      <c r="E46" s="46" t="str">
        <f aca="true">OFFSET(plates!$B$4,CODE(LEFT(B46,1))-64,MID(B46,2,3)+0)&amp;""</f>
        <v/>
      </c>
      <c r="F46" s="46"/>
      <c r="G46" s="47"/>
      <c r="H46" s="47"/>
    </row>
    <row r="47" customFormat="false" ht="12.8" hidden="false" customHeight="false" outlineLevel="0" collapsed="false">
      <c r="A47" s="44" t="n">
        <v>1</v>
      </c>
      <c r="B47" s="44" t="s">
        <v>203</v>
      </c>
      <c r="C47" s="44" t="s">
        <v>158</v>
      </c>
      <c r="D47" s="45" t="str">
        <f aca="true">OFFSET(plates!$B$4,CODE(LEFT(B47,1))-64,-1)&amp;"-"&amp;OFFSET(plates!$B$4,-1,MID(B47,2,3)+0)</f>
        <v>bc139-bc139</v>
      </c>
      <c r="E47" s="46" t="str">
        <f aca="true">OFFSET(plates!$B$4,CODE(LEFT(B47,1))-64,MID(B47,2,3)+0)&amp;""</f>
        <v/>
      </c>
      <c r="F47" s="46"/>
      <c r="G47" s="47"/>
      <c r="H47" s="47"/>
    </row>
    <row r="48" customFormat="false" ht="12.8" hidden="false" customHeight="false" outlineLevel="0" collapsed="false">
      <c r="A48" s="44" t="n">
        <v>1</v>
      </c>
      <c r="B48" s="44" t="s">
        <v>204</v>
      </c>
      <c r="C48" s="44" t="s">
        <v>158</v>
      </c>
      <c r="D48" s="45" t="str">
        <f aca="true">OFFSET(plates!$B$4,CODE(LEFT(B48,1))-64,-1)&amp;"-"&amp;OFFSET(plates!$B$4,-1,MID(B48,2,3)+0)</f>
        <v>bc148-bc139</v>
      </c>
      <c r="E48" s="46" t="str">
        <f aca="true">OFFSET(plates!$B$4,CODE(LEFT(B48,1))-64,MID(B48,2,3)+0)&amp;""</f>
        <v/>
      </c>
      <c r="F48" s="46"/>
      <c r="G48" s="47"/>
      <c r="H48" s="47"/>
    </row>
    <row r="49" customFormat="false" ht="12.8" hidden="false" customHeight="false" outlineLevel="0" collapsed="false">
      <c r="A49" s="44" t="n">
        <v>1</v>
      </c>
      <c r="B49" s="44" t="s">
        <v>205</v>
      </c>
      <c r="C49" s="44" t="s">
        <v>158</v>
      </c>
      <c r="D49" s="45" t="str">
        <f aca="true">OFFSET(plates!$B$4,CODE(LEFT(B49,1))-64,-1)&amp;"-"&amp;OFFSET(plates!$B$4,-1,MID(B49,2,3)+0)</f>
        <v>bc157-bc139</v>
      </c>
      <c r="E49" s="46" t="str">
        <f aca="true">OFFSET(plates!$B$4,CODE(LEFT(B49,1))-64,MID(B49,2,3)+0)&amp;""</f>
        <v/>
      </c>
      <c r="F49" s="46"/>
      <c r="G49" s="47"/>
      <c r="H49" s="47"/>
    </row>
    <row r="50" customFormat="false" ht="12.8" hidden="false" customHeight="false" outlineLevel="0" collapsed="false">
      <c r="A50" s="44" t="n">
        <v>1</v>
      </c>
      <c r="B50" s="44" t="s">
        <v>206</v>
      </c>
      <c r="C50" s="44" t="s">
        <v>158</v>
      </c>
      <c r="D50" s="45" t="str">
        <f aca="true">OFFSET(plates!$B$4,CODE(LEFT(B50,1))-64,-1)&amp;"-"&amp;OFFSET(plates!$B$4,-1,MID(B50,2,3)+0)</f>
        <v>bc018-bc145</v>
      </c>
      <c r="E50" s="46" t="str">
        <f aca="true">OFFSET(plates!$B$4,CODE(LEFT(B50,1))-64,MID(B50,2,3)+0)&amp;""</f>
        <v/>
      </c>
      <c r="F50" s="46"/>
      <c r="G50" s="47"/>
      <c r="H50" s="47"/>
    </row>
    <row r="51" customFormat="false" ht="12.8" hidden="false" customHeight="false" outlineLevel="0" collapsed="false">
      <c r="A51" s="44" t="n">
        <v>1</v>
      </c>
      <c r="B51" s="44" t="s">
        <v>207</v>
      </c>
      <c r="C51" s="44" t="s">
        <v>158</v>
      </c>
      <c r="D51" s="45" t="str">
        <f aca="true">OFFSET(plates!$B$4,CODE(LEFT(B51,1))-64,-1)&amp;"-"&amp;OFFSET(plates!$B$4,-1,MID(B51,2,3)+0)</f>
        <v>bc060-bc145</v>
      </c>
      <c r="E51" s="46" t="str">
        <f aca="true">OFFSET(plates!$B$4,CODE(LEFT(B51,1))-64,MID(B51,2,3)+0)&amp;""</f>
        <v/>
      </c>
      <c r="F51" s="46"/>
      <c r="G51" s="47"/>
      <c r="H51" s="47"/>
    </row>
    <row r="52" customFormat="false" ht="12.8" hidden="false" customHeight="false" outlineLevel="0" collapsed="false">
      <c r="A52" s="44" t="n">
        <v>1</v>
      </c>
      <c r="B52" s="44" t="s">
        <v>208</v>
      </c>
      <c r="C52" s="44" t="s">
        <v>158</v>
      </c>
      <c r="D52" s="45" t="str">
        <f aca="true">OFFSET(plates!$B$4,CODE(LEFT(B52,1))-64,-1)&amp;"-"&amp;OFFSET(plates!$B$4,-1,MID(B52,2,3)+0)</f>
        <v>bc061-bc145</v>
      </c>
      <c r="E52" s="46" t="str">
        <f aca="true">OFFSET(plates!$B$4,CODE(LEFT(B52,1))-64,MID(B52,2,3)+0)&amp;""</f>
        <v/>
      </c>
      <c r="F52" s="46"/>
      <c r="G52" s="47"/>
      <c r="H52" s="47"/>
    </row>
    <row r="53" customFormat="false" ht="12.8" hidden="false" customHeight="false" outlineLevel="0" collapsed="false">
      <c r="A53" s="44" t="n">
        <v>1</v>
      </c>
      <c r="B53" s="44" t="s">
        <v>209</v>
      </c>
      <c r="C53" s="44" t="s">
        <v>158</v>
      </c>
      <c r="D53" s="45" t="str">
        <f aca="true">OFFSET(plates!$B$4,CODE(LEFT(B53,1))-64,-1)&amp;"-"&amp;OFFSET(plates!$B$4,-1,MID(B53,2,3)+0)</f>
        <v>bc062-bc145</v>
      </c>
      <c r="E53" s="46" t="str">
        <f aca="true">OFFSET(plates!$B$4,CODE(LEFT(B53,1))-64,MID(B53,2,3)+0)&amp;""</f>
        <v/>
      </c>
      <c r="F53" s="46"/>
      <c r="G53" s="47"/>
      <c r="H53" s="47"/>
    </row>
    <row r="54" customFormat="false" ht="12.8" hidden="false" customHeight="false" outlineLevel="0" collapsed="false">
      <c r="A54" s="44" t="n">
        <v>1</v>
      </c>
      <c r="B54" s="44" t="s">
        <v>210</v>
      </c>
      <c r="C54" s="44" t="s">
        <v>158</v>
      </c>
      <c r="D54" s="45" t="str">
        <f aca="true">OFFSET(plates!$B$4,CODE(LEFT(B54,1))-64,-1)&amp;"-"&amp;OFFSET(plates!$B$4,-1,MID(B54,2,3)+0)</f>
        <v>bc095-bc145</v>
      </c>
      <c r="E54" s="46" t="str">
        <f aca="true">OFFSET(plates!$B$4,CODE(LEFT(B54,1))-64,MID(B54,2,3)+0)&amp;""</f>
        <v/>
      </c>
      <c r="F54" s="46"/>
      <c r="G54" s="47"/>
      <c r="H54" s="47"/>
    </row>
    <row r="55" customFormat="false" ht="12.8" hidden="false" customHeight="false" outlineLevel="0" collapsed="false">
      <c r="A55" s="44" t="n">
        <v>1</v>
      </c>
      <c r="B55" s="44" t="s">
        <v>211</v>
      </c>
      <c r="C55" s="44" t="s">
        <v>158</v>
      </c>
      <c r="D55" s="45" t="str">
        <f aca="true">OFFSET(plates!$B$4,CODE(LEFT(B55,1))-64,-1)&amp;"-"&amp;OFFSET(plates!$B$4,-1,MID(B55,2,3)+0)</f>
        <v>bc139-bc145</v>
      </c>
      <c r="E55" s="46" t="str">
        <f aca="true">OFFSET(plates!$B$4,CODE(LEFT(B55,1))-64,MID(B55,2,3)+0)&amp;""</f>
        <v/>
      </c>
      <c r="F55" s="46"/>
      <c r="G55" s="47"/>
      <c r="H55" s="47"/>
    </row>
    <row r="56" customFormat="false" ht="12.8" hidden="false" customHeight="false" outlineLevel="0" collapsed="false">
      <c r="A56" s="44" t="n">
        <v>1</v>
      </c>
      <c r="B56" s="44" t="s">
        <v>212</v>
      </c>
      <c r="C56" s="44" t="s">
        <v>158</v>
      </c>
      <c r="D56" s="45" t="str">
        <f aca="true">OFFSET(plates!$B$4,CODE(LEFT(B56,1))-64,-1)&amp;"-"&amp;OFFSET(plates!$B$4,-1,MID(B56,2,3)+0)</f>
        <v>bc148-bc145</v>
      </c>
      <c r="E56" s="46" t="str">
        <f aca="true">OFFSET(plates!$B$4,CODE(LEFT(B56,1))-64,MID(B56,2,3)+0)&amp;""</f>
        <v/>
      </c>
      <c r="F56" s="46"/>
      <c r="G56" s="47"/>
      <c r="H56" s="47"/>
    </row>
    <row r="57" customFormat="false" ht="12.8" hidden="false" customHeight="false" outlineLevel="0" collapsed="false">
      <c r="A57" s="44" t="n">
        <v>1</v>
      </c>
      <c r="B57" s="44" t="s">
        <v>213</v>
      </c>
      <c r="C57" s="44" t="s">
        <v>158</v>
      </c>
      <c r="D57" s="45" t="str">
        <f aca="true">OFFSET(plates!$B$4,CODE(LEFT(B57,1))-64,-1)&amp;"-"&amp;OFFSET(plates!$B$4,-1,MID(B57,2,3)+0)</f>
        <v>bc157-bc145</v>
      </c>
      <c r="E57" s="46" t="str">
        <f aca="true">OFFSET(plates!$B$4,CODE(LEFT(B57,1))-64,MID(B57,2,3)+0)&amp;""</f>
        <v/>
      </c>
      <c r="F57" s="46"/>
      <c r="G57" s="47"/>
      <c r="H57" s="47"/>
    </row>
    <row r="58" customFormat="false" ht="12.8" hidden="false" customHeight="false" outlineLevel="0" collapsed="false">
      <c r="A58" s="44" t="n">
        <v>1</v>
      </c>
      <c r="B58" s="44" t="s">
        <v>214</v>
      </c>
      <c r="C58" s="44" t="s">
        <v>158</v>
      </c>
      <c r="D58" s="45" t="str">
        <f aca="true">OFFSET(plates!$B$4,CODE(LEFT(B58,1))-64,-1)&amp;"-"&amp;OFFSET(plates!$B$4,-1,MID(B58,2,3)+0)</f>
        <v>bc018-bc150</v>
      </c>
      <c r="E58" s="46" t="str">
        <f aca="true">OFFSET(plates!$B$4,CODE(LEFT(B58,1))-64,MID(B58,2,3)+0)&amp;""</f>
        <v/>
      </c>
      <c r="F58" s="46"/>
      <c r="G58" s="47"/>
      <c r="H58" s="47"/>
    </row>
    <row r="59" customFormat="false" ht="12.8" hidden="false" customHeight="false" outlineLevel="0" collapsed="false">
      <c r="A59" s="44" t="n">
        <v>1</v>
      </c>
      <c r="B59" s="44" t="s">
        <v>215</v>
      </c>
      <c r="C59" s="44" t="s">
        <v>158</v>
      </c>
      <c r="D59" s="45" t="str">
        <f aca="true">OFFSET(plates!$B$4,CODE(LEFT(B59,1))-64,-1)&amp;"-"&amp;OFFSET(plates!$B$4,-1,MID(B59,2,3)+0)</f>
        <v>bc060-bc150</v>
      </c>
      <c r="E59" s="46" t="str">
        <f aca="true">OFFSET(plates!$B$4,CODE(LEFT(B59,1))-64,MID(B59,2,3)+0)&amp;""</f>
        <v/>
      </c>
      <c r="F59" s="46"/>
      <c r="G59" s="47"/>
      <c r="H59" s="47"/>
    </row>
    <row r="60" customFormat="false" ht="12.8" hidden="false" customHeight="false" outlineLevel="0" collapsed="false">
      <c r="A60" s="44" t="n">
        <v>1</v>
      </c>
      <c r="B60" s="44" t="s">
        <v>216</v>
      </c>
      <c r="C60" s="44" t="s">
        <v>158</v>
      </c>
      <c r="D60" s="45" t="str">
        <f aca="true">OFFSET(plates!$B$4,CODE(LEFT(B60,1))-64,-1)&amp;"-"&amp;OFFSET(plates!$B$4,-1,MID(B60,2,3)+0)</f>
        <v>bc061-bc150</v>
      </c>
      <c r="E60" s="46" t="str">
        <f aca="true">OFFSET(plates!$B$4,CODE(LEFT(B60,1))-64,MID(B60,2,3)+0)&amp;""</f>
        <v/>
      </c>
      <c r="F60" s="46"/>
      <c r="G60" s="47"/>
      <c r="H60" s="47"/>
    </row>
    <row r="61" customFormat="false" ht="12.8" hidden="false" customHeight="false" outlineLevel="0" collapsed="false">
      <c r="A61" s="44" t="n">
        <v>1</v>
      </c>
      <c r="B61" s="44" t="s">
        <v>217</v>
      </c>
      <c r="C61" s="44" t="s">
        <v>158</v>
      </c>
      <c r="D61" s="45" t="str">
        <f aca="true">OFFSET(plates!$B$4,CODE(LEFT(B61,1))-64,-1)&amp;"-"&amp;OFFSET(plates!$B$4,-1,MID(B61,2,3)+0)</f>
        <v>bc062-bc150</v>
      </c>
      <c r="E61" s="46" t="str">
        <f aca="true">OFFSET(plates!$B$4,CODE(LEFT(B61,1))-64,MID(B61,2,3)+0)&amp;""</f>
        <v/>
      </c>
      <c r="F61" s="46"/>
      <c r="G61" s="47"/>
      <c r="H61" s="47"/>
    </row>
    <row r="62" customFormat="false" ht="12.8" hidden="false" customHeight="false" outlineLevel="0" collapsed="false">
      <c r="A62" s="44" t="n">
        <v>1</v>
      </c>
      <c r="B62" s="44" t="s">
        <v>218</v>
      </c>
      <c r="C62" s="44" t="s">
        <v>158</v>
      </c>
      <c r="D62" s="45" t="str">
        <f aca="true">OFFSET(plates!$B$4,CODE(LEFT(B62,1))-64,-1)&amp;"-"&amp;OFFSET(plates!$B$4,-1,MID(B62,2,3)+0)</f>
        <v>bc095-bc150</v>
      </c>
      <c r="E62" s="46" t="str">
        <f aca="true">OFFSET(plates!$B$4,CODE(LEFT(B62,1))-64,MID(B62,2,3)+0)&amp;""</f>
        <v/>
      </c>
      <c r="F62" s="46"/>
      <c r="G62" s="47"/>
      <c r="H62" s="47"/>
    </row>
    <row r="63" customFormat="false" ht="12.8" hidden="false" customHeight="false" outlineLevel="0" collapsed="false">
      <c r="A63" s="44" t="n">
        <v>1</v>
      </c>
      <c r="B63" s="44" t="s">
        <v>219</v>
      </c>
      <c r="C63" s="44" t="s">
        <v>158</v>
      </c>
      <c r="D63" s="45" t="str">
        <f aca="true">OFFSET(plates!$B$4,CODE(LEFT(B63,1))-64,-1)&amp;"-"&amp;OFFSET(plates!$B$4,-1,MID(B63,2,3)+0)</f>
        <v>bc139-bc150</v>
      </c>
      <c r="E63" s="46" t="str">
        <f aca="true">OFFSET(plates!$B$4,CODE(LEFT(B63,1))-64,MID(B63,2,3)+0)&amp;""</f>
        <v/>
      </c>
      <c r="F63" s="46"/>
      <c r="G63" s="47"/>
      <c r="H63" s="47"/>
    </row>
    <row r="64" customFormat="false" ht="12.8" hidden="false" customHeight="false" outlineLevel="0" collapsed="false">
      <c r="A64" s="44" t="n">
        <v>1</v>
      </c>
      <c r="B64" s="44" t="s">
        <v>220</v>
      </c>
      <c r="C64" s="44" t="s">
        <v>158</v>
      </c>
      <c r="D64" s="45" t="str">
        <f aca="true">OFFSET(plates!$B$4,CODE(LEFT(B64,1))-64,-1)&amp;"-"&amp;OFFSET(plates!$B$4,-1,MID(B64,2,3)+0)</f>
        <v>bc148-bc150</v>
      </c>
      <c r="E64" s="46" t="str">
        <f aca="true">OFFSET(plates!$B$4,CODE(LEFT(B64,1))-64,MID(B64,2,3)+0)&amp;""</f>
        <v/>
      </c>
      <c r="F64" s="46"/>
      <c r="G64" s="47"/>
      <c r="H64" s="47"/>
    </row>
    <row r="65" customFormat="false" ht="12.8" hidden="false" customHeight="false" outlineLevel="0" collapsed="false">
      <c r="A65" s="44" t="n">
        <v>1</v>
      </c>
      <c r="B65" s="44" t="s">
        <v>221</v>
      </c>
      <c r="C65" s="44" t="s">
        <v>158</v>
      </c>
      <c r="D65" s="45" t="str">
        <f aca="true">OFFSET(plates!$B$4,CODE(LEFT(B65,1))-64,-1)&amp;"-"&amp;OFFSET(plates!$B$4,-1,MID(B65,2,3)+0)</f>
        <v>bc157-bc150</v>
      </c>
      <c r="E65" s="46" t="str">
        <f aca="true">OFFSET(plates!$B$4,CODE(LEFT(B65,1))-64,MID(B65,2,3)+0)&amp;""</f>
        <v/>
      </c>
      <c r="F65" s="46"/>
      <c r="G65" s="47"/>
      <c r="H65" s="47"/>
    </row>
    <row r="66" customFormat="false" ht="12.8" hidden="false" customHeight="false" outlineLevel="0" collapsed="false">
      <c r="A66" s="44" t="n">
        <v>1</v>
      </c>
      <c r="B66" s="44" t="s">
        <v>222</v>
      </c>
      <c r="C66" s="44" t="s">
        <v>158</v>
      </c>
      <c r="D66" s="45" t="str">
        <f aca="true">OFFSET(plates!$B$4,CODE(LEFT(B66,1))-64,-1)&amp;"-"&amp;OFFSET(plates!$B$4,-1,MID(B66,2,3)+0)</f>
        <v>bc018-bc183</v>
      </c>
      <c r="E66" s="46" t="str">
        <f aca="true">OFFSET(plates!$B$4,CODE(LEFT(B66,1))-64,MID(B66,2,3)+0)&amp;""</f>
        <v/>
      </c>
      <c r="F66" s="46"/>
      <c r="G66" s="47"/>
      <c r="H66" s="47"/>
    </row>
    <row r="67" customFormat="false" ht="12.8" hidden="false" customHeight="false" outlineLevel="0" collapsed="false">
      <c r="A67" s="44" t="n">
        <v>1</v>
      </c>
      <c r="B67" s="44" t="s">
        <v>223</v>
      </c>
      <c r="C67" s="44" t="s">
        <v>158</v>
      </c>
      <c r="D67" s="45" t="str">
        <f aca="true">OFFSET(plates!$B$4,CODE(LEFT(B67,1))-64,-1)&amp;"-"&amp;OFFSET(plates!$B$4,-1,MID(B67,2,3)+0)</f>
        <v>bc060-bc183</v>
      </c>
      <c r="E67" s="46" t="str">
        <f aca="true">OFFSET(plates!$B$4,CODE(LEFT(B67,1))-64,MID(B67,2,3)+0)&amp;""</f>
        <v/>
      </c>
      <c r="F67" s="46"/>
      <c r="G67" s="47"/>
      <c r="H67" s="47"/>
    </row>
    <row r="68" customFormat="false" ht="12.8" hidden="false" customHeight="false" outlineLevel="0" collapsed="false">
      <c r="A68" s="44" t="n">
        <v>1</v>
      </c>
      <c r="B68" s="44" t="s">
        <v>224</v>
      </c>
      <c r="C68" s="44" t="s">
        <v>158</v>
      </c>
      <c r="D68" s="45" t="str">
        <f aca="true">OFFSET(plates!$B$4,CODE(LEFT(B68,1))-64,-1)&amp;"-"&amp;OFFSET(plates!$B$4,-1,MID(B68,2,3)+0)</f>
        <v>bc061-bc183</v>
      </c>
      <c r="E68" s="46" t="str">
        <f aca="true">OFFSET(plates!$B$4,CODE(LEFT(B68,1))-64,MID(B68,2,3)+0)&amp;""</f>
        <v/>
      </c>
      <c r="F68" s="46"/>
      <c r="G68" s="47"/>
      <c r="H68" s="47"/>
    </row>
    <row r="69" customFormat="false" ht="12.8" hidden="false" customHeight="false" outlineLevel="0" collapsed="false">
      <c r="A69" s="44" t="n">
        <v>1</v>
      </c>
      <c r="B69" s="44" t="s">
        <v>225</v>
      </c>
      <c r="C69" s="44" t="s">
        <v>158</v>
      </c>
      <c r="D69" s="45" t="str">
        <f aca="true">OFFSET(plates!$B$4,CODE(LEFT(B69,1))-64,-1)&amp;"-"&amp;OFFSET(plates!$B$4,-1,MID(B69,2,3)+0)</f>
        <v>bc062-bc183</v>
      </c>
      <c r="E69" s="46" t="str">
        <f aca="true">OFFSET(plates!$B$4,CODE(LEFT(B69,1))-64,MID(B69,2,3)+0)&amp;""</f>
        <v/>
      </c>
      <c r="F69" s="46"/>
      <c r="G69" s="47"/>
      <c r="H69" s="47"/>
    </row>
    <row r="70" customFormat="false" ht="12.8" hidden="false" customHeight="false" outlineLevel="0" collapsed="false">
      <c r="A70" s="44" t="n">
        <v>1</v>
      </c>
      <c r="B70" s="44" t="s">
        <v>226</v>
      </c>
      <c r="C70" s="44" t="s">
        <v>158</v>
      </c>
      <c r="D70" s="45" t="str">
        <f aca="true">OFFSET(plates!$B$4,CODE(LEFT(B70,1))-64,-1)&amp;"-"&amp;OFFSET(plates!$B$4,-1,MID(B70,2,3)+0)</f>
        <v>bc095-bc183</v>
      </c>
      <c r="E70" s="46" t="str">
        <f aca="true">OFFSET(plates!$B$4,CODE(LEFT(B70,1))-64,MID(B70,2,3)+0)&amp;""</f>
        <v/>
      </c>
      <c r="F70" s="46"/>
      <c r="G70" s="47"/>
      <c r="H70" s="47"/>
    </row>
    <row r="71" customFormat="false" ht="12.8" hidden="false" customHeight="false" outlineLevel="0" collapsed="false">
      <c r="A71" s="44" t="n">
        <v>1</v>
      </c>
      <c r="B71" s="44" t="s">
        <v>227</v>
      </c>
      <c r="C71" s="44" t="s">
        <v>158</v>
      </c>
      <c r="D71" s="45" t="str">
        <f aca="true">OFFSET(plates!$B$4,CODE(LEFT(B71,1))-64,-1)&amp;"-"&amp;OFFSET(plates!$B$4,-1,MID(B71,2,3)+0)</f>
        <v>bc139-bc183</v>
      </c>
      <c r="E71" s="46" t="str">
        <f aca="true">OFFSET(plates!$B$4,CODE(LEFT(B71,1))-64,MID(B71,2,3)+0)&amp;""</f>
        <v/>
      </c>
      <c r="F71" s="46"/>
      <c r="G71" s="47"/>
      <c r="H71" s="47"/>
    </row>
    <row r="72" customFormat="false" ht="12.8" hidden="false" customHeight="false" outlineLevel="0" collapsed="false">
      <c r="A72" s="44" t="n">
        <v>1</v>
      </c>
      <c r="B72" s="44" t="s">
        <v>228</v>
      </c>
      <c r="C72" s="44" t="s">
        <v>158</v>
      </c>
      <c r="D72" s="45" t="str">
        <f aca="true">OFFSET(plates!$B$4,CODE(LEFT(B72,1))-64,-1)&amp;"-"&amp;OFFSET(plates!$B$4,-1,MID(B72,2,3)+0)</f>
        <v>bc148-bc183</v>
      </c>
      <c r="E72" s="46" t="str">
        <f aca="true">OFFSET(plates!$B$4,CODE(LEFT(B72,1))-64,MID(B72,2,3)+0)&amp;""</f>
        <v/>
      </c>
      <c r="F72" s="46"/>
      <c r="G72" s="47"/>
      <c r="H72" s="47"/>
    </row>
    <row r="73" customFormat="false" ht="12.8" hidden="false" customHeight="false" outlineLevel="0" collapsed="false">
      <c r="A73" s="44" t="n">
        <v>1</v>
      </c>
      <c r="B73" s="44" t="s">
        <v>229</v>
      </c>
      <c r="C73" s="44" t="s">
        <v>158</v>
      </c>
      <c r="D73" s="45" t="str">
        <f aca="true">OFFSET(plates!$B$4,CODE(LEFT(B73,1))-64,-1)&amp;"-"&amp;OFFSET(plates!$B$4,-1,MID(B73,2,3)+0)</f>
        <v>bc157-bc183</v>
      </c>
      <c r="E73" s="46" t="str">
        <f aca="true">OFFSET(plates!$B$4,CODE(LEFT(B73,1))-64,MID(B73,2,3)+0)&amp;""</f>
        <v/>
      </c>
      <c r="F73" s="46"/>
      <c r="G73" s="47"/>
      <c r="H73" s="47"/>
    </row>
    <row r="74" customFormat="false" ht="12.8" hidden="false" customHeight="false" outlineLevel="0" collapsed="false">
      <c r="A74" s="44" t="n">
        <v>1</v>
      </c>
      <c r="B74" s="44" t="s">
        <v>230</v>
      </c>
      <c r="C74" s="44" t="s">
        <v>158</v>
      </c>
      <c r="D74" s="45" t="str">
        <f aca="true">OFFSET(plates!$B$4,CODE(LEFT(B74,1))-64,-1)&amp;"-"&amp;OFFSET(plates!$B$4,-1,MID(B74,2,3)+0)</f>
        <v>bc018-bc218</v>
      </c>
      <c r="E74" s="46" t="str">
        <f aca="true">OFFSET(plates!$B$4,CODE(LEFT(B74,1))-64,MID(B74,2,3)+0)&amp;""</f>
        <v/>
      </c>
      <c r="F74" s="46"/>
      <c r="G74" s="47"/>
      <c r="H74" s="47"/>
    </row>
    <row r="75" customFormat="false" ht="12.8" hidden="false" customHeight="false" outlineLevel="0" collapsed="false">
      <c r="A75" s="44" t="n">
        <v>1</v>
      </c>
      <c r="B75" s="44" t="s">
        <v>231</v>
      </c>
      <c r="C75" s="44" t="s">
        <v>158</v>
      </c>
      <c r="D75" s="45" t="str">
        <f aca="true">OFFSET(plates!$B$4,CODE(LEFT(B75,1))-64,-1)&amp;"-"&amp;OFFSET(plates!$B$4,-1,MID(B75,2,3)+0)</f>
        <v>bc060-bc218</v>
      </c>
      <c r="E75" s="46" t="str">
        <f aca="true">OFFSET(plates!$B$4,CODE(LEFT(B75,1))-64,MID(B75,2,3)+0)&amp;""</f>
        <v/>
      </c>
      <c r="F75" s="46"/>
      <c r="G75" s="47"/>
      <c r="H75" s="47"/>
    </row>
    <row r="76" customFormat="false" ht="12.8" hidden="false" customHeight="false" outlineLevel="0" collapsed="false">
      <c r="A76" s="44" t="n">
        <v>1</v>
      </c>
      <c r="B76" s="44" t="s">
        <v>232</v>
      </c>
      <c r="C76" s="44" t="s">
        <v>158</v>
      </c>
      <c r="D76" s="45" t="str">
        <f aca="true">OFFSET(plates!$B$4,CODE(LEFT(B76,1))-64,-1)&amp;"-"&amp;OFFSET(plates!$B$4,-1,MID(B76,2,3)+0)</f>
        <v>bc061-bc218</v>
      </c>
      <c r="E76" s="46" t="str">
        <f aca="true">OFFSET(plates!$B$4,CODE(LEFT(B76,1))-64,MID(B76,2,3)+0)&amp;""</f>
        <v/>
      </c>
      <c r="F76" s="46"/>
      <c r="G76" s="47"/>
      <c r="H76" s="47"/>
    </row>
    <row r="77" s="48" customFormat="true" ht="12.8" hidden="false" customHeight="false" outlineLevel="0" collapsed="false">
      <c r="A77" s="44" t="n">
        <v>1</v>
      </c>
      <c r="B77" s="44" t="s">
        <v>233</v>
      </c>
      <c r="C77" s="44" t="s">
        <v>158</v>
      </c>
      <c r="D77" s="45" t="str">
        <f aca="true">OFFSET(plates!$B$4,CODE(LEFT(B77,1))-64,-1)&amp;"-"&amp;OFFSET(plates!$B$4,-1,MID(B77,2,3)+0)</f>
        <v>bc062-bc218</v>
      </c>
      <c r="E77" s="46" t="str">
        <f aca="true">OFFSET(plates!$B$4,CODE(LEFT(B77,1))-64,MID(B77,2,3)+0)&amp;""</f>
        <v/>
      </c>
      <c r="F77" s="46"/>
      <c r="G77" s="47"/>
      <c r="H77" s="47"/>
      <c r="I77" s="36"/>
      <c r="J77" s="36"/>
      <c r="K77" s="36"/>
      <c r="L77" s="36"/>
      <c r="M77" s="36"/>
    </row>
    <row r="78" s="48" customFormat="true" ht="12.8" hidden="false" customHeight="false" outlineLevel="0" collapsed="false">
      <c r="A78" s="44" t="n">
        <v>1</v>
      </c>
      <c r="B78" s="44" t="s">
        <v>234</v>
      </c>
      <c r="C78" s="44" t="s">
        <v>158</v>
      </c>
      <c r="D78" s="45" t="str">
        <f aca="true">OFFSET(plates!$B$4,CODE(LEFT(B78,1))-64,-1)&amp;"-"&amp;OFFSET(plates!$B$4,-1,MID(B78,2,3)+0)</f>
        <v>bc095-bc218</v>
      </c>
      <c r="E78" s="46" t="str">
        <f aca="true">OFFSET(plates!$B$4,CODE(LEFT(B78,1))-64,MID(B78,2,3)+0)&amp;""</f>
        <v/>
      </c>
      <c r="F78" s="46"/>
      <c r="G78" s="47"/>
      <c r="H78" s="47"/>
      <c r="I78" s="36"/>
      <c r="J78" s="36"/>
      <c r="K78" s="36"/>
      <c r="L78" s="36"/>
      <c r="M78" s="36"/>
    </row>
    <row r="79" customFormat="false" ht="12.8" hidden="false" customHeight="false" outlineLevel="0" collapsed="false">
      <c r="A79" s="44" t="n">
        <v>1</v>
      </c>
      <c r="B79" s="44" t="s">
        <v>235</v>
      </c>
      <c r="C79" s="44" t="s">
        <v>158</v>
      </c>
      <c r="D79" s="45" t="str">
        <f aca="true">OFFSET(plates!$B$4,CODE(LEFT(B79,1))-64,-1)&amp;"-"&amp;OFFSET(plates!$B$4,-1,MID(B79,2,3)+0)</f>
        <v>bc139-bc218</v>
      </c>
      <c r="E79" s="46" t="str">
        <f aca="true">OFFSET(plates!$B$4,CODE(LEFT(B79,1))-64,MID(B79,2,3)+0)&amp;""</f>
        <v/>
      </c>
      <c r="F79" s="46"/>
      <c r="G79" s="47"/>
      <c r="H79" s="47"/>
    </row>
    <row r="80" customFormat="false" ht="12.8" hidden="false" customHeight="false" outlineLevel="0" collapsed="false">
      <c r="A80" s="44" t="n">
        <v>1</v>
      </c>
      <c r="B80" s="44" t="s">
        <v>236</v>
      </c>
      <c r="C80" s="44" t="s">
        <v>158</v>
      </c>
      <c r="D80" s="45" t="str">
        <f aca="true">OFFSET(plates!$B$4,CODE(LEFT(B80,1))-64,-1)&amp;"-"&amp;OFFSET(plates!$B$4,-1,MID(B80,2,3)+0)</f>
        <v>bc148-bc218</v>
      </c>
      <c r="E80" s="46" t="str">
        <f aca="true">OFFSET(plates!$B$4,CODE(LEFT(B80,1))-64,MID(B80,2,3)+0)&amp;""</f>
        <v/>
      </c>
      <c r="F80" s="46"/>
      <c r="G80" s="47"/>
      <c r="H80" s="47"/>
    </row>
    <row r="81" customFormat="false" ht="12.8" hidden="false" customHeight="false" outlineLevel="0" collapsed="false">
      <c r="A81" s="44" t="n">
        <v>1</v>
      </c>
      <c r="B81" s="44" t="s">
        <v>237</v>
      </c>
      <c r="C81" s="44" t="s">
        <v>158</v>
      </c>
      <c r="D81" s="45" t="str">
        <f aca="true">OFFSET(plates!$B$4,CODE(LEFT(B81,1))-64,-1)&amp;"-"&amp;OFFSET(plates!$B$4,-1,MID(B81,2,3)+0)</f>
        <v>bc157-bc218</v>
      </c>
      <c r="E81" s="46" t="str">
        <f aca="true">OFFSET(plates!$B$4,CODE(LEFT(B81,1))-64,MID(B81,2,3)+0)&amp;""</f>
        <v/>
      </c>
      <c r="F81" s="46"/>
      <c r="G81" s="47"/>
      <c r="H81" s="47"/>
    </row>
    <row r="82" customFormat="false" ht="12.8" hidden="false" customHeight="false" outlineLevel="0" collapsed="false">
      <c r="A82" s="44" t="n">
        <v>1</v>
      </c>
      <c r="B82" s="44" t="s">
        <v>238</v>
      </c>
      <c r="C82" s="44" t="s">
        <v>158</v>
      </c>
      <c r="D82" s="45" t="str">
        <f aca="true">OFFSET(plates!$B$4,CODE(LEFT(B82,1))-64,-1)&amp;"-"&amp;OFFSET(plates!$B$4,-1,MID(B82,2,3)+0)</f>
        <v>bc018-bc219</v>
      </c>
      <c r="E82" s="46" t="str">
        <f aca="true">OFFSET(plates!$B$4,CODE(LEFT(B82,1))-64,MID(B82,2,3)+0)&amp;""</f>
        <v/>
      </c>
      <c r="F82" s="46"/>
      <c r="G82" s="47"/>
      <c r="H82" s="47"/>
    </row>
    <row r="83" customFormat="false" ht="12.8" hidden="false" customHeight="false" outlineLevel="0" collapsed="false">
      <c r="A83" s="44" t="n">
        <v>1</v>
      </c>
      <c r="B83" s="44" t="s">
        <v>239</v>
      </c>
      <c r="C83" s="44" t="s">
        <v>158</v>
      </c>
      <c r="D83" s="45" t="str">
        <f aca="true">OFFSET(plates!$B$4,CODE(LEFT(B83,1))-64,-1)&amp;"-"&amp;OFFSET(plates!$B$4,-1,MID(B83,2,3)+0)</f>
        <v>bc060-bc219</v>
      </c>
      <c r="E83" s="46" t="str">
        <f aca="true">OFFSET(plates!$B$4,CODE(LEFT(B83,1))-64,MID(B83,2,3)+0)&amp;""</f>
        <v/>
      </c>
      <c r="F83" s="46"/>
      <c r="G83" s="47"/>
      <c r="H83" s="47"/>
    </row>
    <row r="84" customFormat="false" ht="12.8" hidden="false" customHeight="false" outlineLevel="0" collapsed="false">
      <c r="A84" s="44" t="n">
        <v>1</v>
      </c>
      <c r="B84" s="44" t="s">
        <v>240</v>
      </c>
      <c r="C84" s="44" t="s">
        <v>158</v>
      </c>
      <c r="D84" s="45" t="str">
        <f aca="true">OFFSET(plates!$B$4,CODE(LEFT(B84,1))-64,-1)&amp;"-"&amp;OFFSET(plates!$B$4,-1,MID(B84,2,3)+0)</f>
        <v>bc061-bc219</v>
      </c>
      <c r="E84" s="46" t="str">
        <f aca="true">OFFSET(plates!$B$4,CODE(LEFT(B84,1))-64,MID(B84,2,3)+0)&amp;""</f>
        <v/>
      </c>
      <c r="F84" s="46"/>
      <c r="G84" s="47"/>
      <c r="H84" s="47"/>
    </row>
    <row r="85" customFormat="false" ht="12.8" hidden="false" customHeight="false" outlineLevel="0" collapsed="false">
      <c r="A85" s="44" t="n">
        <v>1</v>
      </c>
      <c r="B85" s="44" t="s">
        <v>241</v>
      </c>
      <c r="C85" s="44" t="s">
        <v>158</v>
      </c>
      <c r="D85" s="45" t="str">
        <f aca="true">OFFSET(plates!$B$4,CODE(LEFT(B85,1))-64,-1)&amp;"-"&amp;OFFSET(plates!$B$4,-1,MID(B85,2,3)+0)</f>
        <v>bc062-bc219</v>
      </c>
      <c r="E85" s="46" t="str">
        <f aca="true">OFFSET(plates!$B$4,CODE(LEFT(B85,1))-64,MID(B85,2,3)+0)&amp;""</f>
        <v/>
      </c>
      <c r="F85" s="46"/>
      <c r="G85" s="47"/>
      <c r="H85" s="47"/>
    </row>
    <row r="86" customFormat="false" ht="12.8" hidden="false" customHeight="false" outlineLevel="0" collapsed="false">
      <c r="A86" s="44" t="n">
        <v>1</v>
      </c>
      <c r="B86" s="44" t="s">
        <v>242</v>
      </c>
      <c r="C86" s="44" t="s">
        <v>158</v>
      </c>
      <c r="D86" s="45" t="str">
        <f aca="true">OFFSET(plates!$B$4,CODE(LEFT(B86,1))-64,-1)&amp;"-"&amp;OFFSET(plates!$B$4,-1,MID(B86,2,3)+0)</f>
        <v>bc095-bc219</v>
      </c>
      <c r="E86" s="46" t="str">
        <f aca="true">OFFSET(plates!$B$4,CODE(LEFT(B86,1))-64,MID(B86,2,3)+0)&amp;""</f>
        <v/>
      </c>
      <c r="F86" s="46"/>
      <c r="G86" s="47"/>
      <c r="H86" s="47"/>
    </row>
    <row r="87" customFormat="false" ht="12.8" hidden="false" customHeight="false" outlineLevel="0" collapsed="false">
      <c r="A87" s="44" t="n">
        <v>1</v>
      </c>
      <c r="B87" s="44" t="s">
        <v>243</v>
      </c>
      <c r="C87" s="44" t="s">
        <v>158</v>
      </c>
      <c r="D87" s="45" t="str">
        <f aca="true">OFFSET(plates!$B$4,CODE(LEFT(B87,1))-64,-1)&amp;"-"&amp;OFFSET(plates!$B$4,-1,MID(B87,2,3)+0)</f>
        <v>bc139-bc219</v>
      </c>
      <c r="E87" s="46" t="str">
        <f aca="true">OFFSET(plates!$B$4,CODE(LEFT(B87,1))-64,MID(B87,2,3)+0)&amp;""</f>
        <v/>
      </c>
      <c r="F87" s="46"/>
      <c r="G87" s="47"/>
      <c r="H87" s="47"/>
    </row>
    <row r="88" customFormat="false" ht="12.8" hidden="false" customHeight="false" outlineLevel="0" collapsed="false">
      <c r="A88" s="44" t="n">
        <v>1</v>
      </c>
      <c r="B88" s="44" t="s">
        <v>244</v>
      </c>
      <c r="C88" s="44" t="s">
        <v>158</v>
      </c>
      <c r="D88" s="45" t="str">
        <f aca="true">OFFSET(plates!$B$4,CODE(LEFT(B88,1))-64,-1)&amp;"-"&amp;OFFSET(plates!$B$4,-1,MID(B88,2,3)+0)</f>
        <v>bc148-bc219</v>
      </c>
      <c r="E88" s="46" t="str">
        <f aca="true">OFFSET(plates!$B$4,CODE(LEFT(B88,1))-64,MID(B88,2,3)+0)&amp;""</f>
        <v/>
      </c>
      <c r="F88" s="46"/>
      <c r="G88" s="47"/>
      <c r="H88" s="47"/>
    </row>
    <row r="89" customFormat="false" ht="12.8" hidden="false" customHeight="false" outlineLevel="0" collapsed="false">
      <c r="A89" s="44" t="n">
        <v>1</v>
      </c>
      <c r="B89" s="44" t="s">
        <v>245</v>
      </c>
      <c r="C89" s="44" t="s">
        <v>158</v>
      </c>
      <c r="D89" s="45" t="str">
        <f aca="true">OFFSET(plates!$B$4,CODE(LEFT(B89,1))-64,-1)&amp;"-"&amp;OFFSET(plates!$B$4,-1,MID(B89,2,3)+0)</f>
        <v>bc157-bc219</v>
      </c>
      <c r="E89" s="46" t="str">
        <f aca="true">OFFSET(plates!$B$4,CODE(LEFT(B89,1))-64,MID(B89,2,3)+0)&amp;""</f>
        <v/>
      </c>
      <c r="F89" s="46"/>
      <c r="G89" s="47"/>
      <c r="H89" s="47"/>
    </row>
    <row r="90" customFormat="false" ht="12.8" hidden="false" customHeight="false" outlineLevel="0" collapsed="false">
      <c r="A90" s="44" t="n">
        <v>1</v>
      </c>
      <c r="B90" s="44" t="s">
        <v>246</v>
      </c>
      <c r="C90" s="44" t="s">
        <v>158</v>
      </c>
      <c r="D90" s="45" t="str">
        <f aca="true">OFFSET(plates!$B$4,CODE(LEFT(B90,1))-64,-1)&amp;"-"&amp;OFFSET(plates!$B$4,-1,MID(B90,2,3)+0)</f>
        <v>bc018-bc245</v>
      </c>
      <c r="E90" s="46" t="str">
        <f aca="true">OFFSET(plates!$B$4,CODE(LEFT(B90,1))-64,MID(B90,2,3)+0)&amp;""</f>
        <v/>
      </c>
      <c r="F90" s="46"/>
      <c r="G90" s="47"/>
      <c r="H90" s="47"/>
    </row>
    <row r="91" customFormat="false" ht="12.8" hidden="false" customHeight="false" outlineLevel="0" collapsed="false">
      <c r="A91" s="44" t="n">
        <v>1</v>
      </c>
      <c r="B91" s="44" t="s">
        <v>247</v>
      </c>
      <c r="C91" s="44" t="s">
        <v>158</v>
      </c>
      <c r="D91" s="45" t="str">
        <f aca="true">OFFSET(plates!$B$4,CODE(LEFT(B91,1))-64,-1)&amp;"-"&amp;OFFSET(plates!$B$4,-1,MID(B91,2,3)+0)</f>
        <v>bc060-bc245</v>
      </c>
      <c r="E91" s="46" t="str">
        <f aca="true">OFFSET(plates!$B$4,CODE(LEFT(B91,1))-64,MID(B91,2,3)+0)&amp;""</f>
        <v/>
      </c>
      <c r="F91" s="46"/>
      <c r="G91" s="47"/>
      <c r="H91" s="47"/>
    </row>
    <row r="92" customFormat="false" ht="12.8" hidden="false" customHeight="false" outlineLevel="0" collapsed="false">
      <c r="A92" s="44" t="n">
        <v>1</v>
      </c>
      <c r="B92" s="44" t="s">
        <v>248</v>
      </c>
      <c r="C92" s="44" t="s">
        <v>158</v>
      </c>
      <c r="D92" s="45" t="str">
        <f aca="true">OFFSET(plates!$B$4,CODE(LEFT(B92,1))-64,-1)&amp;"-"&amp;OFFSET(plates!$B$4,-1,MID(B92,2,3)+0)</f>
        <v>bc061-bc245</v>
      </c>
      <c r="E92" s="46" t="str">
        <f aca="true">OFFSET(plates!$B$4,CODE(LEFT(B92,1))-64,MID(B92,2,3)+0)&amp;""</f>
        <v/>
      </c>
      <c r="F92" s="46"/>
      <c r="G92" s="47"/>
      <c r="H92" s="47"/>
    </row>
    <row r="93" customFormat="false" ht="12.8" hidden="false" customHeight="false" outlineLevel="0" collapsed="false">
      <c r="A93" s="44" t="n">
        <v>1</v>
      </c>
      <c r="B93" s="44" t="s">
        <v>249</v>
      </c>
      <c r="C93" s="44" t="s">
        <v>158</v>
      </c>
      <c r="D93" s="45" t="str">
        <f aca="true">OFFSET(plates!$B$4,CODE(LEFT(B93,1))-64,-1)&amp;"-"&amp;OFFSET(plates!$B$4,-1,MID(B93,2,3)+0)</f>
        <v>bc062-bc245</v>
      </c>
      <c r="E93" s="46" t="str">
        <f aca="true">OFFSET(plates!$B$4,CODE(LEFT(B93,1))-64,MID(B93,2,3)+0)&amp;""</f>
        <v/>
      </c>
      <c r="F93" s="46"/>
      <c r="G93" s="47"/>
      <c r="H93" s="47"/>
    </row>
    <row r="94" customFormat="false" ht="12.8" hidden="false" customHeight="false" outlineLevel="0" collapsed="false">
      <c r="A94" s="44" t="n">
        <v>1</v>
      </c>
      <c r="B94" s="44" t="s">
        <v>250</v>
      </c>
      <c r="C94" s="44" t="s">
        <v>158</v>
      </c>
      <c r="D94" s="45" t="str">
        <f aca="true">OFFSET(plates!$B$4,CODE(LEFT(B94,1))-64,-1)&amp;"-"&amp;OFFSET(plates!$B$4,-1,MID(B94,2,3)+0)</f>
        <v>bc095-bc245</v>
      </c>
      <c r="E94" s="46" t="str">
        <f aca="true">OFFSET(plates!$B$4,CODE(LEFT(B94,1))-64,MID(B94,2,3)+0)&amp;""</f>
        <v/>
      </c>
      <c r="F94" s="46"/>
      <c r="G94" s="47"/>
      <c r="H94" s="47"/>
    </row>
    <row r="95" customFormat="false" ht="12.8" hidden="false" customHeight="false" outlineLevel="0" collapsed="false">
      <c r="A95" s="44" t="n">
        <v>1</v>
      </c>
      <c r="B95" s="44" t="s">
        <v>251</v>
      </c>
      <c r="C95" s="44" t="s">
        <v>158</v>
      </c>
      <c r="D95" s="45" t="str">
        <f aca="true">OFFSET(plates!$B$4,CODE(LEFT(B95,1))-64,-1)&amp;"-"&amp;OFFSET(plates!$B$4,-1,MID(B95,2,3)+0)</f>
        <v>bc139-bc245</v>
      </c>
      <c r="E95" s="46" t="str">
        <f aca="true">OFFSET(plates!$B$4,CODE(LEFT(B95,1))-64,MID(B95,2,3)+0)&amp;""</f>
        <v/>
      </c>
      <c r="F95" s="46"/>
      <c r="G95" s="47"/>
      <c r="H95" s="47"/>
      <c r="I95" s="36"/>
      <c r="J95" s="36"/>
      <c r="K95" s="36"/>
      <c r="L95" s="36"/>
      <c r="M95" s="36"/>
    </row>
    <row r="96" customFormat="false" ht="12.8" hidden="false" customHeight="false" outlineLevel="0" collapsed="false">
      <c r="A96" s="44" t="n">
        <v>1</v>
      </c>
      <c r="B96" s="44" t="s">
        <v>252</v>
      </c>
      <c r="C96" s="44" t="s">
        <v>158</v>
      </c>
      <c r="D96" s="45" t="str">
        <f aca="true">OFFSET(plates!$B$4,CODE(LEFT(B96,1))-64,-1)&amp;"-"&amp;OFFSET(plates!$B$4,-1,MID(B96,2,3)+0)</f>
        <v>bc148-bc245</v>
      </c>
      <c r="E96" s="46" t="str">
        <f aca="true">OFFSET(plates!$B$4,CODE(LEFT(B96,1))-64,MID(B96,2,3)+0)&amp;""</f>
        <v/>
      </c>
      <c r="F96" s="46"/>
      <c r="G96" s="47"/>
      <c r="H96" s="47"/>
      <c r="I96" s="36"/>
      <c r="J96" s="36"/>
      <c r="K96" s="36"/>
      <c r="L96" s="36"/>
      <c r="M96" s="36"/>
    </row>
    <row r="97" customFormat="false" ht="12.8" hidden="false" customHeight="false" outlineLevel="0" collapsed="false">
      <c r="A97" s="44" t="n">
        <v>1</v>
      </c>
      <c r="B97" s="44" t="s">
        <v>253</v>
      </c>
      <c r="C97" s="44" t="s">
        <v>158</v>
      </c>
      <c r="D97" s="45" t="str">
        <f aca="true">OFFSET(plates!$B$4,CODE(LEFT(B97,1))-64,-1)&amp;"-"&amp;OFFSET(plates!$B$4,-1,MID(B97,2,3)+0)</f>
        <v>bc157-bc245</v>
      </c>
      <c r="E97" s="46" t="str">
        <f aca="true">OFFSET(plates!$B$4,CODE(LEFT(B97,1))-64,MID(B97,2,3)+0)&amp;""</f>
        <v/>
      </c>
      <c r="F97" s="46"/>
      <c r="G97" s="47"/>
      <c r="H97" s="47"/>
      <c r="I97" s="36"/>
      <c r="J97" s="36"/>
      <c r="K97" s="36"/>
    </row>
    <row r="98" customFormat="false" ht="12.8" hidden="false" customHeight="false" outlineLevel="0" collapsed="false">
      <c r="A98" s="44" t="n">
        <v>2</v>
      </c>
      <c r="B98" s="44" t="s">
        <v>157</v>
      </c>
      <c r="C98" s="44" t="s">
        <v>158</v>
      </c>
      <c r="D98" s="45" t="str">
        <f aca="true">OFFSET(plates!$B$14,CODE(LEFT(B98,1))-64,-1)&amp;"-"&amp;OFFSET(plates!$B$4,-1,MID(B98,2,3)+0)</f>
        <v>bc168-bc019</v>
      </c>
      <c r="E98" s="46" t="str">
        <f aca="true">OFFSET(plates!$B$14,CODE(LEFT(B98,1))-64,MID(B98,2,3)+0)&amp;""</f>
        <v/>
      </c>
      <c r="F98" s="46"/>
      <c r="G98" s="47"/>
      <c r="H98" s="47"/>
      <c r="I98" s="36"/>
      <c r="J98" s="36"/>
      <c r="K98" s="36"/>
    </row>
    <row r="99" customFormat="false" ht="12.8" hidden="false" customHeight="false" outlineLevel="0" collapsed="false">
      <c r="A99" s="44" t="n">
        <v>2</v>
      </c>
      <c r="B99" s="44" t="s">
        <v>159</v>
      </c>
      <c r="C99" s="44" t="s">
        <v>158</v>
      </c>
      <c r="D99" s="45" t="str">
        <f aca="true">OFFSET(plates!$B$14,CODE(LEFT(B99,1))-64,-1)&amp;"-"&amp;OFFSET(plates!$B$4,-1,MID(B99,2,3)+0)</f>
        <v>bc183-bc019</v>
      </c>
      <c r="E99" s="46" t="str">
        <f aca="true">OFFSET(plates!$B$14,CODE(LEFT(B99,1))-64,MID(B99,2,3)+0)&amp;""</f>
        <v/>
      </c>
      <c r="F99" s="46"/>
      <c r="G99" s="47"/>
      <c r="H99" s="47"/>
    </row>
    <row r="100" customFormat="false" ht="12.8" hidden="false" customHeight="false" outlineLevel="0" collapsed="false">
      <c r="A100" s="44" t="n">
        <v>2</v>
      </c>
      <c r="B100" s="44" t="s">
        <v>160</v>
      </c>
      <c r="C100" s="44" t="s">
        <v>158</v>
      </c>
      <c r="D100" s="45" t="str">
        <f aca="true">OFFSET(plates!$B$14,CODE(LEFT(B100,1))-64,-1)&amp;"-"&amp;OFFSET(plates!$B$4,-1,MID(B100,2,3)+0)</f>
        <v>bc192-bc019</v>
      </c>
      <c r="E100" s="46" t="str">
        <f aca="true">OFFSET(plates!$B$14,CODE(LEFT(B100,1))-64,MID(B100,2,3)+0)&amp;""</f>
        <v/>
      </c>
      <c r="F100" s="46"/>
      <c r="G100" s="47"/>
      <c r="H100" s="47"/>
    </row>
    <row r="101" customFormat="false" ht="12.8" hidden="false" customHeight="false" outlineLevel="0" collapsed="false">
      <c r="A101" s="44" t="n">
        <v>2</v>
      </c>
      <c r="B101" s="44" t="s">
        <v>161</v>
      </c>
      <c r="C101" s="44" t="s">
        <v>158</v>
      </c>
      <c r="D101" s="45" t="str">
        <f aca="true">OFFSET(plates!$B$14,CODE(LEFT(B101,1))-64,-1)&amp;"-"&amp;OFFSET(plates!$B$4,-1,MID(B101,2,3)+0)</f>
        <v>bc205-bc019</v>
      </c>
      <c r="E101" s="46" t="str">
        <f aca="true">OFFSET(plates!$B$14,CODE(LEFT(B101,1))-64,MID(B101,2,3)+0)&amp;""</f>
        <v/>
      </c>
      <c r="F101" s="46"/>
      <c r="G101" s="47"/>
      <c r="H101" s="47"/>
    </row>
    <row r="102" customFormat="false" ht="12.8" hidden="false" customHeight="false" outlineLevel="0" collapsed="false">
      <c r="A102" s="44" t="n">
        <v>2</v>
      </c>
      <c r="B102" s="44" t="s">
        <v>162</v>
      </c>
      <c r="C102" s="44" t="s">
        <v>158</v>
      </c>
      <c r="D102" s="45" t="str">
        <f aca="true">OFFSET(plates!$B$14,CODE(LEFT(B102,1))-64,-1)&amp;"-"&amp;OFFSET(plates!$B$4,-1,MID(B102,2,3)+0)</f>
        <v>bc219-bc019</v>
      </c>
      <c r="E102" s="46" t="str">
        <f aca="true">OFFSET(plates!$B$14,CODE(LEFT(B102,1))-64,MID(B102,2,3)+0)&amp;""</f>
        <v/>
      </c>
      <c r="F102" s="46"/>
      <c r="G102" s="47"/>
      <c r="H102" s="47"/>
    </row>
    <row r="103" customFormat="false" ht="12.8" hidden="false" customHeight="false" outlineLevel="0" collapsed="false">
      <c r="A103" s="44" t="n">
        <v>2</v>
      </c>
      <c r="B103" s="44" t="s">
        <v>163</v>
      </c>
      <c r="C103" s="44" t="s">
        <v>158</v>
      </c>
      <c r="D103" s="45" t="str">
        <f aca="true">OFFSET(plates!$B$14,CODE(LEFT(B103,1))-64,-1)&amp;"-"&amp;OFFSET(plates!$B$4,-1,MID(B103,2,3)+0)</f>
        <v>bc220-bc019</v>
      </c>
      <c r="E103" s="46" t="str">
        <f aca="true">OFFSET(plates!$B$14,CODE(LEFT(B103,1))-64,MID(B103,2,3)+0)&amp;""</f>
        <v/>
      </c>
      <c r="F103" s="46"/>
      <c r="G103" s="47"/>
      <c r="H103" s="47"/>
    </row>
    <row r="104" customFormat="false" ht="12.8" hidden="false" customHeight="false" outlineLevel="0" collapsed="false">
      <c r="A104" s="44" t="n">
        <v>2</v>
      </c>
      <c r="B104" s="44" t="s">
        <v>164</v>
      </c>
      <c r="C104" s="44" t="s">
        <v>158</v>
      </c>
      <c r="D104" s="45" t="str">
        <f aca="true">OFFSET(plates!$B$14,CODE(LEFT(B104,1))-64,-1)&amp;"-"&amp;OFFSET(plates!$B$4,-1,MID(B104,2,3)+0)</f>
        <v>bc258-bc019</v>
      </c>
      <c r="E104" s="46" t="str">
        <f aca="true">OFFSET(plates!$B$14,CODE(LEFT(B104,1))-64,MID(B104,2,3)+0)&amp;""</f>
        <v/>
      </c>
      <c r="F104" s="46"/>
      <c r="G104" s="47"/>
      <c r="H104" s="47"/>
    </row>
    <row r="105" customFormat="false" ht="12.8" hidden="false" customHeight="false" outlineLevel="0" collapsed="false">
      <c r="A105" s="44" t="n">
        <v>2</v>
      </c>
      <c r="B105" s="44" t="s">
        <v>165</v>
      </c>
      <c r="C105" s="44" t="s">
        <v>158</v>
      </c>
      <c r="D105" s="45" t="str">
        <f aca="true">OFFSET(plates!$B$14,CODE(LEFT(B105,1))-64,-1)&amp;"-"&amp;OFFSET(plates!$B$4,-1,MID(B105,2,3)+0)</f>
        <v>bc264-bc019</v>
      </c>
      <c r="E105" s="46" t="str">
        <f aca="true">OFFSET(plates!$B$14,CODE(LEFT(B105,1))-64,MID(B105,2,3)+0)&amp;""</f>
        <v/>
      </c>
      <c r="F105" s="46"/>
      <c r="G105" s="47"/>
      <c r="H105" s="47"/>
    </row>
    <row r="106" customFormat="false" ht="12.8" hidden="false" customHeight="false" outlineLevel="0" collapsed="false">
      <c r="A106" s="44" t="n">
        <v>2</v>
      </c>
      <c r="B106" s="44" t="s">
        <v>166</v>
      </c>
      <c r="C106" s="44" t="s">
        <v>158</v>
      </c>
      <c r="D106" s="45" t="str">
        <f aca="true">OFFSET(plates!$B$14,CODE(LEFT(B106,1))-64,-1)&amp;"-"&amp;OFFSET(plates!$B$4,-1,MID(B106,2,3)+0)</f>
        <v>bc168-bc062</v>
      </c>
      <c r="E106" s="46" t="str">
        <f aca="true">OFFSET(plates!$B$14,CODE(LEFT(B106,1))-64,MID(B106,2,3)+0)&amp;""</f>
        <v/>
      </c>
      <c r="F106" s="46"/>
      <c r="G106" s="47"/>
      <c r="H106" s="47"/>
    </row>
    <row r="107" customFormat="false" ht="12.8" hidden="false" customHeight="false" outlineLevel="0" collapsed="false">
      <c r="A107" s="44" t="n">
        <v>2</v>
      </c>
      <c r="B107" s="44" t="s">
        <v>167</v>
      </c>
      <c r="C107" s="44" t="s">
        <v>158</v>
      </c>
      <c r="D107" s="45" t="str">
        <f aca="true">OFFSET(plates!$B$14,CODE(LEFT(B107,1))-64,-1)&amp;"-"&amp;OFFSET(plates!$B$4,-1,MID(B107,2,3)+0)</f>
        <v>bc183-bc062</v>
      </c>
      <c r="E107" s="46" t="str">
        <f aca="true">OFFSET(plates!$B$14,CODE(LEFT(B107,1))-64,MID(B107,2,3)+0)&amp;""</f>
        <v/>
      </c>
      <c r="F107" s="46"/>
      <c r="G107" s="47"/>
      <c r="H107" s="47"/>
    </row>
    <row r="108" customFormat="false" ht="12.8" hidden="false" customHeight="false" outlineLevel="0" collapsed="false">
      <c r="A108" s="44" t="n">
        <v>2</v>
      </c>
      <c r="B108" s="44" t="s">
        <v>168</v>
      </c>
      <c r="C108" s="44" t="s">
        <v>158</v>
      </c>
      <c r="D108" s="45" t="str">
        <f aca="true">OFFSET(plates!$B$14,CODE(LEFT(B108,1))-64,-1)&amp;"-"&amp;OFFSET(plates!$B$4,-1,MID(B108,2,3)+0)</f>
        <v>bc192-bc062</v>
      </c>
      <c r="E108" s="46" t="str">
        <f aca="true">OFFSET(plates!$B$14,CODE(LEFT(B108,1))-64,MID(B108,2,3)+0)&amp;""</f>
        <v/>
      </c>
      <c r="F108" s="46"/>
      <c r="G108" s="47"/>
      <c r="H108" s="47"/>
    </row>
    <row r="109" customFormat="false" ht="12.8" hidden="false" customHeight="false" outlineLevel="0" collapsed="false">
      <c r="A109" s="44" t="n">
        <v>2</v>
      </c>
      <c r="B109" s="44" t="s">
        <v>169</v>
      </c>
      <c r="C109" s="44" t="s">
        <v>158</v>
      </c>
      <c r="D109" s="45" t="str">
        <f aca="true">OFFSET(plates!$B$14,CODE(LEFT(B109,1))-64,-1)&amp;"-"&amp;OFFSET(plates!$B$4,-1,MID(B109,2,3)+0)</f>
        <v>bc205-bc062</v>
      </c>
      <c r="E109" s="46" t="str">
        <f aca="true">OFFSET(plates!$B$14,CODE(LEFT(B109,1))-64,MID(B109,2,3)+0)&amp;""</f>
        <v/>
      </c>
      <c r="F109" s="46"/>
      <c r="G109" s="47"/>
      <c r="H109" s="47"/>
    </row>
    <row r="110" customFormat="false" ht="12.8" hidden="false" customHeight="false" outlineLevel="0" collapsed="false">
      <c r="A110" s="44" t="n">
        <v>2</v>
      </c>
      <c r="B110" s="44" t="s">
        <v>170</v>
      </c>
      <c r="C110" s="44" t="s">
        <v>158</v>
      </c>
      <c r="D110" s="45" t="str">
        <f aca="true">OFFSET(plates!$B$14,CODE(LEFT(B110,1))-64,-1)&amp;"-"&amp;OFFSET(plates!$B$4,-1,MID(B110,2,3)+0)</f>
        <v>bc219-bc062</v>
      </c>
      <c r="E110" s="46" t="str">
        <f aca="true">OFFSET(plates!$B$14,CODE(LEFT(B110,1))-64,MID(B110,2,3)+0)&amp;""</f>
        <v/>
      </c>
      <c r="F110" s="46"/>
      <c r="G110" s="47"/>
      <c r="H110" s="47"/>
    </row>
    <row r="111" customFormat="false" ht="12.8" hidden="false" customHeight="false" outlineLevel="0" collapsed="false">
      <c r="A111" s="44" t="n">
        <v>2</v>
      </c>
      <c r="B111" s="44" t="s">
        <v>171</v>
      </c>
      <c r="C111" s="44" t="s">
        <v>158</v>
      </c>
      <c r="D111" s="45" t="str">
        <f aca="true">OFFSET(plates!$B$14,CODE(LEFT(B111,1))-64,-1)&amp;"-"&amp;OFFSET(plates!$B$4,-1,MID(B111,2,3)+0)</f>
        <v>bc220-bc062</v>
      </c>
      <c r="E111" s="46" t="str">
        <f aca="true">OFFSET(plates!$B$14,CODE(LEFT(B111,1))-64,MID(B111,2,3)+0)&amp;""</f>
        <v/>
      </c>
      <c r="F111" s="46"/>
      <c r="G111" s="47"/>
      <c r="H111" s="47"/>
    </row>
    <row r="112" customFormat="false" ht="12.8" hidden="false" customHeight="false" outlineLevel="0" collapsed="false">
      <c r="A112" s="44" t="n">
        <v>2</v>
      </c>
      <c r="B112" s="44" t="s">
        <v>172</v>
      </c>
      <c r="C112" s="44" t="s">
        <v>158</v>
      </c>
      <c r="D112" s="45" t="str">
        <f aca="true">OFFSET(plates!$B$14,CODE(LEFT(B112,1))-64,-1)&amp;"-"&amp;OFFSET(plates!$B$4,-1,MID(B112,2,3)+0)</f>
        <v>bc258-bc062</v>
      </c>
      <c r="E112" s="46" t="str">
        <f aca="true">OFFSET(plates!$B$14,CODE(LEFT(B112,1))-64,MID(B112,2,3)+0)&amp;""</f>
        <v/>
      </c>
      <c r="F112" s="46"/>
      <c r="G112" s="47"/>
      <c r="H112" s="47"/>
    </row>
    <row r="113" customFormat="false" ht="12.8" hidden="false" customHeight="false" outlineLevel="0" collapsed="false">
      <c r="A113" s="44" t="n">
        <v>2</v>
      </c>
      <c r="B113" s="44" t="s">
        <v>173</v>
      </c>
      <c r="C113" s="44" t="s">
        <v>158</v>
      </c>
      <c r="D113" s="45" t="str">
        <f aca="true">OFFSET(plates!$B$14,CODE(LEFT(B113,1))-64,-1)&amp;"-"&amp;OFFSET(plates!$B$4,-1,MID(B113,2,3)+0)</f>
        <v>bc264-bc062</v>
      </c>
      <c r="E113" s="46" t="str">
        <f aca="true">OFFSET(plates!$B$14,CODE(LEFT(B113,1))-64,MID(B113,2,3)+0)&amp;""</f>
        <v/>
      </c>
      <c r="F113" s="46"/>
      <c r="G113" s="47"/>
      <c r="H113" s="47"/>
    </row>
    <row r="114" customFormat="false" ht="12.8" hidden="false" customHeight="false" outlineLevel="0" collapsed="false">
      <c r="A114" s="44" t="n">
        <v>2</v>
      </c>
      <c r="B114" s="44" t="s">
        <v>174</v>
      </c>
      <c r="C114" s="44" t="s">
        <v>158</v>
      </c>
      <c r="D114" s="45" t="str">
        <f aca="true">OFFSET(plates!$B$14,CODE(LEFT(B114,1))-64,-1)&amp;"-"&amp;OFFSET(plates!$B$4,-1,MID(B114,2,3)+0)</f>
        <v>bc168-bc065</v>
      </c>
      <c r="E114" s="46" t="str">
        <f aca="true">OFFSET(plates!$B$14,CODE(LEFT(B114,1))-64,MID(B114,2,3)+0)&amp;""</f>
        <v/>
      </c>
      <c r="F114" s="46"/>
      <c r="G114" s="47"/>
      <c r="H114" s="47"/>
    </row>
    <row r="115" customFormat="false" ht="12.8" hidden="false" customHeight="false" outlineLevel="0" collapsed="false">
      <c r="A115" s="44" t="n">
        <v>2</v>
      </c>
      <c r="B115" s="44" t="s">
        <v>175</v>
      </c>
      <c r="C115" s="44" t="s">
        <v>158</v>
      </c>
      <c r="D115" s="45" t="str">
        <f aca="true">OFFSET(plates!$B$14,CODE(LEFT(B115,1))-64,-1)&amp;"-"&amp;OFFSET(plates!$B$4,-1,MID(B115,2,3)+0)</f>
        <v>bc183-bc065</v>
      </c>
      <c r="E115" s="46" t="str">
        <f aca="true">OFFSET(plates!$B$14,CODE(LEFT(B115,1))-64,MID(B115,2,3)+0)&amp;""</f>
        <v/>
      </c>
      <c r="F115" s="46"/>
      <c r="G115" s="47"/>
      <c r="H115" s="47"/>
    </row>
    <row r="116" customFormat="false" ht="12.8" hidden="false" customHeight="false" outlineLevel="0" collapsed="false">
      <c r="A116" s="44" t="n">
        <v>2</v>
      </c>
      <c r="B116" s="44" t="s">
        <v>176</v>
      </c>
      <c r="C116" s="44" t="s">
        <v>158</v>
      </c>
      <c r="D116" s="45" t="str">
        <f aca="true">OFFSET(plates!$B$14,CODE(LEFT(B116,1))-64,-1)&amp;"-"&amp;OFFSET(plates!$B$4,-1,MID(B116,2,3)+0)</f>
        <v>bc192-bc065</v>
      </c>
      <c r="E116" s="46" t="str">
        <f aca="true">OFFSET(plates!$B$14,CODE(LEFT(B116,1))-64,MID(B116,2,3)+0)&amp;""</f>
        <v/>
      </c>
      <c r="F116" s="46"/>
      <c r="G116" s="47"/>
      <c r="H116" s="47"/>
    </row>
    <row r="117" customFormat="false" ht="12.8" hidden="false" customHeight="false" outlineLevel="0" collapsed="false">
      <c r="A117" s="44" t="n">
        <v>2</v>
      </c>
      <c r="B117" s="44" t="s">
        <v>177</v>
      </c>
      <c r="C117" s="44" t="s">
        <v>158</v>
      </c>
      <c r="D117" s="45" t="str">
        <f aca="true">OFFSET(plates!$B$14,CODE(LEFT(B117,1))-64,-1)&amp;"-"&amp;OFFSET(plates!$B$4,-1,MID(B117,2,3)+0)</f>
        <v>bc205-bc065</v>
      </c>
      <c r="E117" s="46" t="str">
        <f aca="true">OFFSET(plates!$B$14,CODE(LEFT(B117,1))-64,MID(B117,2,3)+0)&amp;""</f>
        <v/>
      </c>
      <c r="F117" s="46"/>
      <c r="G117" s="47"/>
      <c r="H117" s="47"/>
    </row>
    <row r="118" customFormat="false" ht="12.8" hidden="false" customHeight="false" outlineLevel="0" collapsed="false">
      <c r="A118" s="44" t="n">
        <v>2</v>
      </c>
      <c r="B118" s="44" t="s">
        <v>178</v>
      </c>
      <c r="C118" s="44" t="s">
        <v>158</v>
      </c>
      <c r="D118" s="45" t="str">
        <f aca="true">OFFSET(plates!$B$14,CODE(LEFT(B118,1))-64,-1)&amp;"-"&amp;OFFSET(plates!$B$4,-1,MID(B118,2,3)+0)</f>
        <v>bc219-bc065</v>
      </c>
      <c r="E118" s="46" t="str">
        <f aca="true">OFFSET(plates!$B$14,CODE(LEFT(B118,1))-64,MID(B118,2,3)+0)&amp;""</f>
        <v/>
      </c>
      <c r="F118" s="46"/>
      <c r="G118" s="47"/>
      <c r="H118" s="47"/>
    </row>
    <row r="119" customFormat="false" ht="12.8" hidden="false" customHeight="false" outlineLevel="0" collapsed="false">
      <c r="A119" s="44" t="n">
        <v>2</v>
      </c>
      <c r="B119" s="44" t="s">
        <v>179</v>
      </c>
      <c r="C119" s="44" t="s">
        <v>158</v>
      </c>
      <c r="D119" s="45" t="str">
        <f aca="true">OFFSET(plates!$B$14,CODE(LEFT(B119,1))-64,-1)&amp;"-"&amp;OFFSET(plates!$B$4,-1,MID(B119,2,3)+0)</f>
        <v>bc220-bc065</v>
      </c>
      <c r="E119" s="46" t="str">
        <f aca="true">OFFSET(plates!$B$14,CODE(LEFT(B119,1))-64,MID(B119,2,3)+0)&amp;""</f>
        <v/>
      </c>
      <c r="F119" s="46"/>
      <c r="G119" s="47"/>
      <c r="H119" s="47"/>
    </row>
    <row r="120" customFormat="false" ht="12.8" hidden="false" customHeight="false" outlineLevel="0" collapsed="false">
      <c r="A120" s="44" t="n">
        <v>2</v>
      </c>
      <c r="B120" s="44" t="s">
        <v>180</v>
      </c>
      <c r="C120" s="44" t="s">
        <v>158</v>
      </c>
      <c r="D120" s="45" t="str">
        <f aca="true">OFFSET(plates!$B$14,CODE(LEFT(B120,1))-64,-1)&amp;"-"&amp;OFFSET(plates!$B$4,-1,MID(B120,2,3)+0)</f>
        <v>bc258-bc065</v>
      </c>
      <c r="E120" s="46" t="str">
        <f aca="true">OFFSET(plates!$B$14,CODE(LEFT(B120,1))-64,MID(B120,2,3)+0)&amp;""</f>
        <v/>
      </c>
      <c r="F120" s="46"/>
      <c r="G120" s="47"/>
      <c r="H120" s="47"/>
    </row>
    <row r="121" customFormat="false" ht="12.8" hidden="false" customHeight="false" outlineLevel="0" collapsed="false">
      <c r="A121" s="44" t="n">
        <v>2</v>
      </c>
      <c r="B121" s="44" t="s">
        <v>181</v>
      </c>
      <c r="C121" s="44" t="s">
        <v>158</v>
      </c>
      <c r="D121" s="45" t="str">
        <f aca="true">OFFSET(plates!$B$14,CODE(LEFT(B121,1))-64,-1)&amp;"-"&amp;OFFSET(plates!$B$4,-1,MID(B121,2,3)+0)</f>
        <v>bc264-bc065</v>
      </c>
      <c r="E121" s="46" t="str">
        <f aca="true">OFFSET(plates!$B$14,CODE(LEFT(B121,1))-64,MID(B121,2,3)+0)&amp;""</f>
        <v/>
      </c>
      <c r="F121" s="46"/>
      <c r="G121" s="47"/>
      <c r="H121" s="47"/>
    </row>
    <row r="122" customFormat="false" ht="12.8" hidden="false" customHeight="false" outlineLevel="0" collapsed="false">
      <c r="A122" s="44" t="n">
        <v>2</v>
      </c>
      <c r="B122" s="44" t="s">
        <v>182</v>
      </c>
      <c r="C122" s="44" t="s">
        <v>158</v>
      </c>
      <c r="D122" s="45" t="str">
        <f aca="true">OFFSET(plates!$B$14,CODE(LEFT(B122,1))-64,-1)&amp;"-"&amp;OFFSET(plates!$B$4,-1,MID(B122,2,3)+0)</f>
        <v>bc168-bc082</v>
      </c>
      <c r="E122" s="46" t="str">
        <f aca="true">OFFSET(plates!$B$14,CODE(LEFT(B122,1))-64,MID(B122,2,3)+0)&amp;""</f>
        <v/>
      </c>
      <c r="F122" s="46"/>
      <c r="G122" s="47"/>
      <c r="H122" s="47"/>
    </row>
    <row r="123" customFormat="false" ht="12.8" hidden="false" customHeight="false" outlineLevel="0" collapsed="false">
      <c r="A123" s="44" t="n">
        <v>2</v>
      </c>
      <c r="B123" s="44" t="s">
        <v>183</v>
      </c>
      <c r="C123" s="44" t="s">
        <v>158</v>
      </c>
      <c r="D123" s="45" t="str">
        <f aca="true">OFFSET(plates!$B$14,CODE(LEFT(B123,1))-64,-1)&amp;"-"&amp;OFFSET(plates!$B$4,-1,MID(B123,2,3)+0)</f>
        <v>bc183-bc082</v>
      </c>
      <c r="E123" s="46" t="str">
        <f aca="true">OFFSET(plates!$B$14,CODE(LEFT(B123,1))-64,MID(B123,2,3)+0)&amp;""</f>
        <v/>
      </c>
      <c r="F123" s="46"/>
      <c r="G123" s="47"/>
      <c r="H123" s="47"/>
    </row>
    <row r="124" customFormat="false" ht="12.8" hidden="false" customHeight="false" outlineLevel="0" collapsed="false">
      <c r="A124" s="44" t="n">
        <v>2</v>
      </c>
      <c r="B124" s="44" t="s">
        <v>184</v>
      </c>
      <c r="C124" s="44" t="s">
        <v>158</v>
      </c>
      <c r="D124" s="45" t="str">
        <f aca="true">OFFSET(plates!$B$14,CODE(LEFT(B124,1))-64,-1)&amp;"-"&amp;OFFSET(plates!$B$4,-1,MID(B124,2,3)+0)</f>
        <v>bc192-bc082</v>
      </c>
      <c r="E124" s="46" t="str">
        <f aca="true">OFFSET(plates!$B$14,CODE(LEFT(B124,1))-64,MID(B124,2,3)+0)&amp;""</f>
        <v/>
      </c>
      <c r="F124" s="46"/>
      <c r="G124" s="47"/>
      <c r="H124" s="47"/>
    </row>
    <row r="125" customFormat="false" ht="12.8" hidden="false" customHeight="false" outlineLevel="0" collapsed="false">
      <c r="A125" s="44" t="n">
        <v>2</v>
      </c>
      <c r="B125" s="44" t="s">
        <v>185</v>
      </c>
      <c r="C125" s="44" t="s">
        <v>158</v>
      </c>
      <c r="D125" s="45" t="str">
        <f aca="true">OFFSET(plates!$B$14,CODE(LEFT(B125,1))-64,-1)&amp;"-"&amp;OFFSET(plates!$B$4,-1,MID(B125,2,3)+0)</f>
        <v>bc205-bc082</v>
      </c>
      <c r="E125" s="46" t="str">
        <f aca="true">OFFSET(plates!$B$14,CODE(LEFT(B125,1))-64,MID(B125,2,3)+0)&amp;""</f>
        <v/>
      </c>
      <c r="F125" s="46"/>
      <c r="G125" s="47"/>
      <c r="H125" s="47"/>
    </row>
    <row r="126" customFormat="false" ht="12.8" hidden="false" customHeight="false" outlineLevel="0" collapsed="false">
      <c r="A126" s="44" t="n">
        <v>2</v>
      </c>
      <c r="B126" s="44" t="s">
        <v>186</v>
      </c>
      <c r="C126" s="44" t="s">
        <v>158</v>
      </c>
      <c r="D126" s="45" t="str">
        <f aca="true">OFFSET(plates!$B$14,CODE(LEFT(B126,1))-64,-1)&amp;"-"&amp;OFFSET(plates!$B$4,-1,MID(B126,2,3)+0)</f>
        <v>bc219-bc082</v>
      </c>
      <c r="E126" s="46" t="str">
        <f aca="true">OFFSET(plates!$B$14,CODE(LEFT(B126,1))-64,MID(B126,2,3)+0)&amp;""</f>
        <v/>
      </c>
      <c r="F126" s="46"/>
      <c r="G126" s="47"/>
      <c r="H126" s="47"/>
    </row>
    <row r="127" customFormat="false" ht="12.8" hidden="false" customHeight="false" outlineLevel="0" collapsed="false">
      <c r="A127" s="44" t="n">
        <v>2</v>
      </c>
      <c r="B127" s="44" t="s">
        <v>187</v>
      </c>
      <c r="C127" s="44" t="s">
        <v>158</v>
      </c>
      <c r="D127" s="45" t="str">
        <f aca="true">OFFSET(plates!$B$14,CODE(LEFT(B127,1))-64,-1)&amp;"-"&amp;OFFSET(plates!$B$4,-1,MID(B127,2,3)+0)</f>
        <v>bc220-bc082</v>
      </c>
      <c r="E127" s="46" t="str">
        <f aca="true">OFFSET(plates!$B$14,CODE(LEFT(B127,1))-64,MID(B127,2,3)+0)&amp;""</f>
        <v/>
      </c>
      <c r="F127" s="46"/>
      <c r="G127" s="47"/>
      <c r="H127" s="47"/>
    </row>
    <row r="128" customFormat="false" ht="12.8" hidden="false" customHeight="false" outlineLevel="0" collapsed="false">
      <c r="A128" s="44" t="n">
        <v>2</v>
      </c>
      <c r="B128" s="44" t="s">
        <v>188</v>
      </c>
      <c r="C128" s="44" t="s">
        <v>158</v>
      </c>
      <c r="D128" s="45" t="str">
        <f aca="true">OFFSET(plates!$B$14,CODE(LEFT(B128,1))-64,-1)&amp;"-"&amp;OFFSET(plates!$B$4,-1,MID(B128,2,3)+0)</f>
        <v>bc258-bc082</v>
      </c>
      <c r="E128" s="46" t="str">
        <f aca="true">OFFSET(plates!$B$14,CODE(LEFT(B128,1))-64,MID(B128,2,3)+0)&amp;""</f>
        <v/>
      </c>
      <c r="F128" s="46"/>
      <c r="G128" s="47"/>
      <c r="H128" s="47"/>
    </row>
    <row r="129" customFormat="false" ht="12.8" hidden="false" customHeight="false" outlineLevel="0" collapsed="false">
      <c r="A129" s="44" t="n">
        <v>2</v>
      </c>
      <c r="B129" s="44" t="s">
        <v>189</v>
      </c>
      <c r="C129" s="44" t="s">
        <v>158</v>
      </c>
      <c r="D129" s="45" t="str">
        <f aca="true">OFFSET(plates!$B$14,CODE(LEFT(B129,1))-64,-1)&amp;"-"&amp;OFFSET(plates!$B$4,-1,MID(B129,2,3)+0)</f>
        <v>bc264-bc082</v>
      </c>
      <c r="E129" s="46" t="str">
        <f aca="true">OFFSET(plates!$B$14,CODE(LEFT(B129,1))-64,MID(B129,2,3)+0)&amp;""</f>
        <v/>
      </c>
      <c r="F129" s="46"/>
      <c r="G129" s="47"/>
      <c r="H129" s="47"/>
    </row>
    <row r="130" customFormat="false" ht="12.8" hidden="false" customHeight="false" outlineLevel="0" collapsed="false">
      <c r="A130" s="44" t="n">
        <v>2</v>
      </c>
      <c r="B130" s="44" t="s">
        <v>190</v>
      </c>
      <c r="C130" s="44" t="s">
        <v>158</v>
      </c>
      <c r="D130" s="45" t="str">
        <f aca="true">OFFSET(plates!$B$14,CODE(LEFT(B130,1))-64,-1)&amp;"-"&amp;OFFSET(plates!$B$4,-1,MID(B130,2,3)+0)</f>
        <v>bc168-bc120</v>
      </c>
      <c r="E130" s="46" t="str">
        <f aca="true">OFFSET(plates!$B$14,CODE(LEFT(B130,1))-64,MID(B130,2,3)+0)&amp;""</f>
        <v/>
      </c>
      <c r="F130" s="46"/>
      <c r="G130" s="47"/>
      <c r="H130" s="47"/>
    </row>
    <row r="131" customFormat="false" ht="12.8" hidden="false" customHeight="false" outlineLevel="0" collapsed="false">
      <c r="A131" s="44" t="n">
        <v>2</v>
      </c>
      <c r="B131" s="44" t="s">
        <v>191</v>
      </c>
      <c r="C131" s="44" t="s">
        <v>158</v>
      </c>
      <c r="D131" s="45" t="str">
        <f aca="true">OFFSET(plates!$B$14,CODE(LEFT(B131,1))-64,-1)&amp;"-"&amp;OFFSET(plates!$B$4,-1,MID(B131,2,3)+0)</f>
        <v>bc183-bc120</v>
      </c>
      <c r="E131" s="46" t="str">
        <f aca="true">OFFSET(plates!$B$14,CODE(LEFT(B131,1))-64,MID(B131,2,3)+0)&amp;""</f>
        <v/>
      </c>
      <c r="F131" s="46"/>
      <c r="G131" s="47"/>
      <c r="H131" s="47"/>
    </row>
    <row r="132" customFormat="false" ht="12.8" hidden="false" customHeight="false" outlineLevel="0" collapsed="false">
      <c r="A132" s="44" t="n">
        <v>2</v>
      </c>
      <c r="B132" s="44" t="s">
        <v>192</v>
      </c>
      <c r="C132" s="44" t="s">
        <v>158</v>
      </c>
      <c r="D132" s="45" t="str">
        <f aca="true">OFFSET(plates!$B$14,CODE(LEFT(B132,1))-64,-1)&amp;"-"&amp;OFFSET(plates!$B$4,-1,MID(B132,2,3)+0)</f>
        <v>bc192-bc120</v>
      </c>
      <c r="E132" s="46" t="str">
        <f aca="true">OFFSET(plates!$B$14,CODE(LEFT(B132,1))-64,MID(B132,2,3)+0)&amp;""</f>
        <v/>
      </c>
      <c r="F132" s="46"/>
      <c r="G132" s="47"/>
      <c r="H132" s="47"/>
    </row>
    <row r="133" customFormat="false" ht="12.8" hidden="false" customHeight="false" outlineLevel="0" collapsed="false">
      <c r="A133" s="44" t="n">
        <v>2</v>
      </c>
      <c r="B133" s="44" t="s">
        <v>193</v>
      </c>
      <c r="C133" s="44" t="s">
        <v>158</v>
      </c>
      <c r="D133" s="45" t="str">
        <f aca="true">OFFSET(plates!$B$14,CODE(LEFT(B133,1))-64,-1)&amp;"-"&amp;OFFSET(plates!$B$4,-1,MID(B133,2,3)+0)</f>
        <v>bc205-bc120</v>
      </c>
      <c r="E133" s="46" t="str">
        <f aca="true">OFFSET(plates!$B$14,CODE(LEFT(B133,1))-64,MID(B133,2,3)+0)&amp;""</f>
        <v/>
      </c>
      <c r="F133" s="46"/>
      <c r="G133" s="47"/>
      <c r="H133" s="47"/>
    </row>
    <row r="134" customFormat="false" ht="12.8" hidden="false" customHeight="false" outlineLevel="0" collapsed="false">
      <c r="A134" s="44" t="n">
        <v>2</v>
      </c>
      <c r="B134" s="44" t="s">
        <v>194</v>
      </c>
      <c r="C134" s="44" t="s">
        <v>158</v>
      </c>
      <c r="D134" s="45" t="str">
        <f aca="true">OFFSET(plates!$B$14,CODE(LEFT(B134,1))-64,-1)&amp;"-"&amp;OFFSET(plates!$B$4,-1,MID(B134,2,3)+0)</f>
        <v>bc219-bc120</v>
      </c>
      <c r="E134" s="46" t="str">
        <f aca="true">OFFSET(plates!$B$14,CODE(LEFT(B134,1))-64,MID(B134,2,3)+0)&amp;""</f>
        <v/>
      </c>
      <c r="F134" s="46"/>
      <c r="G134" s="47"/>
      <c r="H134" s="47"/>
    </row>
    <row r="135" customFormat="false" ht="12.8" hidden="false" customHeight="false" outlineLevel="0" collapsed="false">
      <c r="A135" s="44" t="n">
        <v>2</v>
      </c>
      <c r="B135" s="44" t="s">
        <v>195</v>
      </c>
      <c r="C135" s="44" t="s">
        <v>158</v>
      </c>
      <c r="D135" s="45" t="str">
        <f aca="true">OFFSET(plates!$B$14,CODE(LEFT(B135,1))-64,-1)&amp;"-"&amp;OFFSET(plates!$B$4,-1,MID(B135,2,3)+0)</f>
        <v>bc220-bc120</v>
      </c>
      <c r="E135" s="46" t="str">
        <f aca="true">OFFSET(plates!$B$14,CODE(LEFT(B135,1))-64,MID(B135,2,3)+0)&amp;""</f>
        <v/>
      </c>
      <c r="F135" s="46"/>
      <c r="G135" s="47"/>
      <c r="H135" s="47"/>
    </row>
    <row r="136" customFormat="false" ht="12.8" hidden="false" customHeight="false" outlineLevel="0" collapsed="false">
      <c r="A136" s="44" t="n">
        <v>2</v>
      </c>
      <c r="B136" s="44" t="s">
        <v>196</v>
      </c>
      <c r="C136" s="44" t="s">
        <v>158</v>
      </c>
      <c r="D136" s="45" t="str">
        <f aca="true">OFFSET(plates!$B$14,CODE(LEFT(B136,1))-64,-1)&amp;"-"&amp;OFFSET(plates!$B$4,-1,MID(B136,2,3)+0)</f>
        <v>bc258-bc120</v>
      </c>
      <c r="E136" s="46" t="str">
        <f aca="true">OFFSET(plates!$B$14,CODE(LEFT(B136,1))-64,MID(B136,2,3)+0)&amp;""</f>
        <v/>
      </c>
      <c r="F136" s="46"/>
      <c r="G136" s="47"/>
      <c r="H136" s="47"/>
    </row>
    <row r="137" customFormat="false" ht="12.8" hidden="false" customHeight="false" outlineLevel="0" collapsed="false">
      <c r="A137" s="44" t="n">
        <v>2</v>
      </c>
      <c r="B137" s="44" t="s">
        <v>197</v>
      </c>
      <c r="C137" s="44" t="s">
        <v>158</v>
      </c>
      <c r="D137" s="45" t="str">
        <f aca="true">OFFSET(plates!$B$14,CODE(LEFT(B137,1))-64,-1)&amp;"-"&amp;OFFSET(plates!$B$4,-1,MID(B137,2,3)+0)</f>
        <v>bc264-bc120</v>
      </c>
      <c r="E137" s="46" t="str">
        <f aca="true">OFFSET(plates!$B$14,CODE(LEFT(B137,1))-64,MID(B137,2,3)+0)&amp;""</f>
        <v/>
      </c>
      <c r="F137" s="46"/>
      <c r="G137" s="47"/>
      <c r="H137" s="47"/>
    </row>
    <row r="138" customFormat="false" ht="12.8" hidden="false" customHeight="false" outlineLevel="0" collapsed="false">
      <c r="A138" s="44" t="n">
        <v>2</v>
      </c>
      <c r="B138" s="44" t="s">
        <v>198</v>
      </c>
      <c r="C138" s="44" t="s">
        <v>158</v>
      </c>
      <c r="D138" s="45" t="str">
        <f aca="true">OFFSET(plates!$B$14,CODE(LEFT(B138,1))-64,-1)&amp;"-"&amp;OFFSET(plates!$B$4,-1,MID(B138,2,3)+0)</f>
        <v>bc168-bc139</v>
      </c>
      <c r="E138" s="46" t="str">
        <f aca="true">OFFSET(plates!$B$14,CODE(LEFT(B138,1))-64,MID(B138,2,3)+0)&amp;""</f>
        <v/>
      </c>
      <c r="F138" s="46"/>
      <c r="G138" s="47"/>
      <c r="H138" s="47"/>
    </row>
    <row r="139" customFormat="false" ht="12.8" hidden="false" customHeight="false" outlineLevel="0" collapsed="false">
      <c r="A139" s="44" t="n">
        <v>2</v>
      </c>
      <c r="B139" s="44" t="s">
        <v>199</v>
      </c>
      <c r="C139" s="44" t="s">
        <v>158</v>
      </c>
      <c r="D139" s="45" t="str">
        <f aca="true">OFFSET(plates!$B$14,CODE(LEFT(B139,1))-64,-1)&amp;"-"&amp;OFFSET(plates!$B$4,-1,MID(B139,2,3)+0)</f>
        <v>bc183-bc139</v>
      </c>
      <c r="E139" s="46" t="str">
        <f aca="true">OFFSET(plates!$B$14,CODE(LEFT(B139,1))-64,MID(B139,2,3)+0)&amp;""</f>
        <v/>
      </c>
      <c r="F139" s="46"/>
      <c r="G139" s="47"/>
      <c r="H139" s="47"/>
    </row>
    <row r="140" customFormat="false" ht="12.8" hidden="false" customHeight="false" outlineLevel="0" collapsed="false">
      <c r="A140" s="44" t="n">
        <v>2</v>
      </c>
      <c r="B140" s="44" t="s">
        <v>200</v>
      </c>
      <c r="C140" s="44" t="s">
        <v>158</v>
      </c>
      <c r="D140" s="45" t="str">
        <f aca="true">OFFSET(plates!$B$14,CODE(LEFT(B140,1))-64,-1)&amp;"-"&amp;OFFSET(plates!$B$4,-1,MID(B140,2,3)+0)</f>
        <v>bc192-bc139</v>
      </c>
      <c r="E140" s="46" t="str">
        <f aca="true">OFFSET(plates!$B$14,CODE(LEFT(B140,1))-64,MID(B140,2,3)+0)&amp;""</f>
        <v/>
      </c>
      <c r="F140" s="46"/>
      <c r="G140" s="47"/>
      <c r="H140" s="47"/>
    </row>
    <row r="141" customFormat="false" ht="12.8" hidden="false" customHeight="false" outlineLevel="0" collapsed="false">
      <c r="A141" s="44" t="n">
        <v>2</v>
      </c>
      <c r="B141" s="44" t="s">
        <v>201</v>
      </c>
      <c r="C141" s="44" t="s">
        <v>158</v>
      </c>
      <c r="D141" s="45" t="str">
        <f aca="true">OFFSET(plates!$B$14,CODE(LEFT(B141,1))-64,-1)&amp;"-"&amp;OFFSET(plates!$B$4,-1,MID(B141,2,3)+0)</f>
        <v>bc205-bc139</v>
      </c>
      <c r="E141" s="46" t="str">
        <f aca="true">OFFSET(plates!$B$14,CODE(LEFT(B141,1))-64,MID(B141,2,3)+0)&amp;""</f>
        <v/>
      </c>
      <c r="F141" s="46"/>
      <c r="G141" s="47"/>
      <c r="H141" s="47"/>
    </row>
    <row r="142" customFormat="false" ht="12.8" hidden="false" customHeight="false" outlineLevel="0" collapsed="false">
      <c r="A142" s="44" t="n">
        <v>2</v>
      </c>
      <c r="B142" s="44" t="s">
        <v>202</v>
      </c>
      <c r="C142" s="44" t="s">
        <v>158</v>
      </c>
      <c r="D142" s="45" t="str">
        <f aca="true">OFFSET(plates!$B$14,CODE(LEFT(B142,1))-64,-1)&amp;"-"&amp;OFFSET(plates!$B$4,-1,MID(B142,2,3)+0)</f>
        <v>bc219-bc139</v>
      </c>
      <c r="E142" s="46" t="str">
        <f aca="true">OFFSET(plates!$B$14,CODE(LEFT(B142,1))-64,MID(B142,2,3)+0)&amp;""</f>
        <v/>
      </c>
      <c r="F142" s="46"/>
      <c r="G142" s="47"/>
      <c r="H142" s="47"/>
    </row>
    <row r="143" customFormat="false" ht="12.8" hidden="false" customHeight="false" outlineLevel="0" collapsed="false">
      <c r="A143" s="44" t="n">
        <v>2</v>
      </c>
      <c r="B143" s="44" t="s">
        <v>203</v>
      </c>
      <c r="C143" s="44" t="s">
        <v>158</v>
      </c>
      <c r="D143" s="45" t="str">
        <f aca="true">OFFSET(plates!$B$14,CODE(LEFT(B143,1))-64,-1)&amp;"-"&amp;OFFSET(plates!$B$4,-1,MID(B143,2,3)+0)</f>
        <v>bc220-bc139</v>
      </c>
      <c r="E143" s="46" t="str">
        <f aca="true">OFFSET(plates!$B$14,CODE(LEFT(B143,1))-64,MID(B143,2,3)+0)&amp;""</f>
        <v/>
      </c>
      <c r="F143" s="46"/>
      <c r="G143" s="47"/>
      <c r="H143" s="47"/>
    </row>
    <row r="144" customFormat="false" ht="12.8" hidden="false" customHeight="false" outlineLevel="0" collapsed="false">
      <c r="A144" s="44" t="n">
        <v>2</v>
      </c>
      <c r="B144" s="44" t="s">
        <v>204</v>
      </c>
      <c r="C144" s="44" t="s">
        <v>158</v>
      </c>
      <c r="D144" s="45" t="str">
        <f aca="true">OFFSET(plates!$B$14,CODE(LEFT(B144,1))-64,-1)&amp;"-"&amp;OFFSET(plates!$B$4,-1,MID(B144,2,3)+0)</f>
        <v>bc258-bc139</v>
      </c>
      <c r="E144" s="46" t="str">
        <f aca="true">OFFSET(plates!$B$14,CODE(LEFT(B144,1))-64,MID(B144,2,3)+0)&amp;""</f>
        <v/>
      </c>
      <c r="F144" s="46"/>
      <c r="G144" s="47"/>
      <c r="H144" s="47"/>
    </row>
    <row r="145" customFormat="false" ht="12.8" hidden="false" customHeight="false" outlineLevel="0" collapsed="false">
      <c r="A145" s="44" t="n">
        <v>2</v>
      </c>
      <c r="B145" s="44" t="s">
        <v>205</v>
      </c>
      <c r="C145" s="44" t="s">
        <v>158</v>
      </c>
      <c r="D145" s="45" t="str">
        <f aca="true">OFFSET(plates!$B$14,CODE(LEFT(B145,1))-64,-1)&amp;"-"&amp;OFFSET(plates!$B$4,-1,MID(B145,2,3)+0)</f>
        <v>bc264-bc139</v>
      </c>
      <c r="E145" s="46" t="str">
        <f aca="true">OFFSET(plates!$B$14,CODE(LEFT(B145,1))-64,MID(B145,2,3)+0)&amp;""</f>
        <v/>
      </c>
      <c r="F145" s="46"/>
      <c r="G145" s="47"/>
      <c r="H145" s="47"/>
    </row>
    <row r="146" customFormat="false" ht="12.8" hidden="false" customHeight="false" outlineLevel="0" collapsed="false">
      <c r="A146" s="44" t="n">
        <v>2</v>
      </c>
      <c r="B146" s="44" t="s">
        <v>206</v>
      </c>
      <c r="C146" s="44" t="s">
        <v>158</v>
      </c>
      <c r="D146" s="45" t="str">
        <f aca="true">OFFSET(plates!$B$14,CODE(LEFT(B146,1))-64,-1)&amp;"-"&amp;OFFSET(plates!$B$4,-1,MID(B146,2,3)+0)</f>
        <v>bc168-bc145</v>
      </c>
      <c r="E146" s="46" t="str">
        <f aca="true">OFFSET(plates!$B$14,CODE(LEFT(B146,1))-64,MID(B146,2,3)+0)&amp;""</f>
        <v/>
      </c>
      <c r="F146" s="46"/>
      <c r="G146" s="47"/>
      <c r="H146" s="47"/>
    </row>
    <row r="147" customFormat="false" ht="12.8" hidden="false" customHeight="false" outlineLevel="0" collapsed="false">
      <c r="A147" s="44" t="n">
        <v>2</v>
      </c>
      <c r="B147" s="44" t="s">
        <v>207</v>
      </c>
      <c r="C147" s="44" t="s">
        <v>158</v>
      </c>
      <c r="D147" s="45" t="str">
        <f aca="true">OFFSET(plates!$B$14,CODE(LEFT(B147,1))-64,-1)&amp;"-"&amp;OFFSET(plates!$B$4,-1,MID(B147,2,3)+0)</f>
        <v>bc183-bc145</v>
      </c>
      <c r="E147" s="46" t="str">
        <f aca="true">OFFSET(plates!$B$14,CODE(LEFT(B147,1))-64,MID(B147,2,3)+0)&amp;""</f>
        <v/>
      </c>
      <c r="F147" s="46"/>
      <c r="G147" s="47"/>
      <c r="H147" s="47"/>
    </row>
    <row r="148" customFormat="false" ht="12.8" hidden="false" customHeight="false" outlineLevel="0" collapsed="false">
      <c r="A148" s="44" t="n">
        <v>2</v>
      </c>
      <c r="B148" s="44" t="s">
        <v>208</v>
      </c>
      <c r="C148" s="44" t="s">
        <v>158</v>
      </c>
      <c r="D148" s="45" t="str">
        <f aca="true">OFFSET(plates!$B$14,CODE(LEFT(B148,1))-64,-1)&amp;"-"&amp;OFFSET(plates!$B$4,-1,MID(B148,2,3)+0)</f>
        <v>bc192-bc145</v>
      </c>
      <c r="E148" s="46" t="str">
        <f aca="true">OFFSET(plates!$B$14,CODE(LEFT(B148,1))-64,MID(B148,2,3)+0)&amp;""</f>
        <v/>
      </c>
      <c r="F148" s="46"/>
      <c r="G148" s="47"/>
      <c r="H148" s="47"/>
    </row>
    <row r="149" customFormat="false" ht="12.8" hidden="false" customHeight="false" outlineLevel="0" collapsed="false">
      <c r="A149" s="44" t="n">
        <v>2</v>
      </c>
      <c r="B149" s="44" t="s">
        <v>209</v>
      </c>
      <c r="C149" s="44" t="s">
        <v>158</v>
      </c>
      <c r="D149" s="45" t="str">
        <f aca="true">OFFSET(plates!$B$14,CODE(LEFT(B149,1))-64,-1)&amp;"-"&amp;OFFSET(plates!$B$4,-1,MID(B149,2,3)+0)</f>
        <v>bc205-bc145</v>
      </c>
      <c r="E149" s="46" t="str">
        <f aca="true">OFFSET(plates!$B$14,CODE(LEFT(B149,1))-64,MID(B149,2,3)+0)&amp;""</f>
        <v/>
      </c>
      <c r="F149" s="46"/>
      <c r="G149" s="47"/>
      <c r="H149" s="47"/>
    </row>
    <row r="150" customFormat="false" ht="12.8" hidden="false" customHeight="false" outlineLevel="0" collapsed="false">
      <c r="A150" s="44" t="n">
        <v>2</v>
      </c>
      <c r="B150" s="44" t="s">
        <v>210</v>
      </c>
      <c r="C150" s="44" t="s">
        <v>158</v>
      </c>
      <c r="D150" s="45" t="str">
        <f aca="true">OFFSET(plates!$B$14,CODE(LEFT(B150,1))-64,-1)&amp;"-"&amp;OFFSET(plates!$B$4,-1,MID(B150,2,3)+0)</f>
        <v>bc219-bc145</v>
      </c>
      <c r="E150" s="46" t="str">
        <f aca="true">OFFSET(plates!$B$14,CODE(LEFT(B150,1))-64,MID(B150,2,3)+0)&amp;""</f>
        <v/>
      </c>
      <c r="F150" s="46"/>
      <c r="G150" s="47"/>
      <c r="H150" s="47"/>
    </row>
    <row r="151" customFormat="false" ht="12.8" hidden="false" customHeight="false" outlineLevel="0" collapsed="false">
      <c r="A151" s="44" t="n">
        <v>2</v>
      </c>
      <c r="B151" s="44" t="s">
        <v>211</v>
      </c>
      <c r="C151" s="44" t="s">
        <v>158</v>
      </c>
      <c r="D151" s="45" t="str">
        <f aca="true">OFFSET(plates!$B$14,CODE(LEFT(B151,1))-64,-1)&amp;"-"&amp;OFFSET(plates!$B$4,-1,MID(B151,2,3)+0)</f>
        <v>bc220-bc145</v>
      </c>
      <c r="E151" s="46" t="str">
        <f aca="true">OFFSET(plates!$B$14,CODE(LEFT(B151,1))-64,MID(B151,2,3)+0)&amp;""</f>
        <v/>
      </c>
      <c r="F151" s="46"/>
      <c r="G151" s="47"/>
      <c r="H151" s="47"/>
    </row>
    <row r="152" customFormat="false" ht="12.8" hidden="false" customHeight="false" outlineLevel="0" collapsed="false">
      <c r="A152" s="44" t="n">
        <v>2</v>
      </c>
      <c r="B152" s="44" t="s">
        <v>212</v>
      </c>
      <c r="C152" s="44" t="s">
        <v>158</v>
      </c>
      <c r="D152" s="45" t="str">
        <f aca="true">OFFSET(plates!$B$14,CODE(LEFT(B152,1))-64,-1)&amp;"-"&amp;OFFSET(plates!$B$4,-1,MID(B152,2,3)+0)</f>
        <v>bc258-bc145</v>
      </c>
      <c r="E152" s="46" t="str">
        <f aca="true">OFFSET(plates!$B$14,CODE(LEFT(B152,1))-64,MID(B152,2,3)+0)&amp;""</f>
        <v/>
      </c>
      <c r="F152" s="46"/>
      <c r="G152" s="47"/>
      <c r="H152" s="47"/>
    </row>
    <row r="153" customFormat="false" ht="12.8" hidden="false" customHeight="false" outlineLevel="0" collapsed="false">
      <c r="A153" s="44" t="n">
        <v>2</v>
      </c>
      <c r="B153" s="44" t="s">
        <v>213</v>
      </c>
      <c r="C153" s="44" t="s">
        <v>158</v>
      </c>
      <c r="D153" s="45" t="str">
        <f aca="true">OFFSET(plates!$B$14,CODE(LEFT(B153,1))-64,-1)&amp;"-"&amp;OFFSET(plates!$B$4,-1,MID(B153,2,3)+0)</f>
        <v>bc264-bc145</v>
      </c>
      <c r="E153" s="46" t="str">
        <f aca="true">OFFSET(plates!$B$14,CODE(LEFT(B153,1))-64,MID(B153,2,3)+0)&amp;""</f>
        <v/>
      </c>
      <c r="F153" s="46"/>
      <c r="G153" s="47"/>
      <c r="H153" s="47"/>
    </row>
    <row r="154" customFormat="false" ht="12.8" hidden="false" customHeight="false" outlineLevel="0" collapsed="false">
      <c r="A154" s="44" t="n">
        <v>2</v>
      </c>
      <c r="B154" s="44" t="s">
        <v>214</v>
      </c>
      <c r="C154" s="44" t="s">
        <v>158</v>
      </c>
      <c r="D154" s="45" t="str">
        <f aca="true">OFFSET(plates!$B$14,CODE(LEFT(B154,1))-64,-1)&amp;"-"&amp;OFFSET(plates!$B$4,-1,MID(B154,2,3)+0)</f>
        <v>bc168-bc150</v>
      </c>
      <c r="E154" s="46" t="str">
        <f aca="true">OFFSET(plates!$B$14,CODE(LEFT(B154,1))-64,MID(B154,2,3)+0)&amp;""</f>
        <v/>
      </c>
      <c r="F154" s="46"/>
      <c r="G154" s="47"/>
      <c r="H154" s="47"/>
    </row>
    <row r="155" customFormat="false" ht="12.8" hidden="false" customHeight="false" outlineLevel="0" collapsed="false">
      <c r="A155" s="44" t="n">
        <v>2</v>
      </c>
      <c r="B155" s="44" t="s">
        <v>215</v>
      </c>
      <c r="C155" s="44" t="s">
        <v>158</v>
      </c>
      <c r="D155" s="45" t="str">
        <f aca="true">OFFSET(plates!$B$14,CODE(LEFT(B155,1))-64,-1)&amp;"-"&amp;OFFSET(plates!$B$4,-1,MID(B155,2,3)+0)</f>
        <v>bc183-bc150</v>
      </c>
      <c r="E155" s="46" t="str">
        <f aca="true">OFFSET(plates!$B$14,CODE(LEFT(B155,1))-64,MID(B155,2,3)+0)&amp;""</f>
        <v/>
      </c>
      <c r="F155" s="46"/>
      <c r="G155" s="47"/>
      <c r="H155" s="47"/>
    </row>
    <row r="156" customFormat="false" ht="12.8" hidden="false" customHeight="false" outlineLevel="0" collapsed="false">
      <c r="A156" s="44" t="n">
        <v>2</v>
      </c>
      <c r="B156" s="44" t="s">
        <v>216</v>
      </c>
      <c r="C156" s="44" t="s">
        <v>158</v>
      </c>
      <c r="D156" s="45" t="str">
        <f aca="true">OFFSET(plates!$B$14,CODE(LEFT(B156,1))-64,-1)&amp;"-"&amp;OFFSET(plates!$B$4,-1,MID(B156,2,3)+0)</f>
        <v>bc192-bc150</v>
      </c>
      <c r="E156" s="46" t="str">
        <f aca="true">OFFSET(plates!$B$14,CODE(LEFT(B156,1))-64,MID(B156,2,3)+0)&amp;""</f>
        <v/>
      </c>
      <c r="F156" s="46"/>
      <c r="G156" s="47"/>
      <c r="H156" s="47"/>
    </row>
    <row r="157" customFormat="false" ht="12.8" hidden="false" customHeight="false" outlineLevel="0" collapsed="false">
      <c r="A157" s="44" t="n">
        <v>2</v>
      </c>
      <c r="B157" s="44" t="s">
        <v>217</v>
      </c>
      <c r="C157" s="44" t="s">
        <v>158</v>
      </c>
      <c r="D157" s="45" t="str">
        <f aca="true">OFFSET(plates!$B$14,CODE(LEFT(B157,1))-64,-1)&amp;"-"&amp;OFFSET(plates!$B$4,-1,MID(B157,2,3)+0)</f>
        <v>bc205-bc150</v>
      </c>
      <c r="E157" s="46" t="str">
        <f aca="true">OFFSET(plates!$B$14,CODE(LEFT(B157,1))-64,MID(B157,2,3)+0)&amp;""</f>
        <v/>
      </c>
      <c r="F157" s="46"/>
      <c r="G157" s="47"/>
      <c r="H157" s="47"/>
    </row>
    <row r="158" customFormat="false" ht="12.8" hidden="false" customHeight="false" outlineLevel="0" collapsed="false">
      <c r="A158" s="44" t="n">
        <v>2</v>
      </c>
      <c r="B158" s="44" t="s">
        <v>218</v>
      </c>
      <c r="C158" s="44" t="s">
        <v>158</v>
      </c>
      <c r="D158" s="45" t="str">
        <f aca="true">OFFSET(plates!$B$14,CODE(LEFT(B158,1))-64,-1)&amp;"-"&amp;OFFSET(plates!$B$4,-1,MID(B158,2,3)+0)</f>
        <v>bc219-bc150</v>
      </c>
      <c r="E158" s="46" t="str">
        <f aca="true">OFFSET(plates!$B$14,CODE(LEFT(B158,1))-64,MID(B158,2,3)+0)&amp;""</f>
        <v/>
      </c>
      <c r="F158" s="46"/>
      <c r="G158" s="47"/>
      <c r="H158" s="47"/>
    </row>
    <row r="159" customFormat="false" ht="12.8" hidden="false" customHeight="false" outlineLevel="0" collapsed="false">
      <c r="A159" s="44" t="n">
        <v>2</v>
      </c>
      <c r="B159" s="44" t="s">
        <v>219</v>
      </c>
      <c r="C159" s="44" t="s">
        <v>158</v>
      </c>
      <c r="D159" s="45" t="str">
        <f aca="true">OFFSET(plates!$B$14,CODE(LEFT(B159,1))-64,-1)&amp;"-"&amp;OFFSET(plates!$B$4,-1,MID(B159,2,3)+0)</f>
        <v>bc220-bc150</v>
      </c>
      <c r="E159" s="46" t="str">
        <f aca="true">OFFSET(plates!$B$14,CODE(LEFT(B159,1))-64,MID(B159,2,3)+0)&amp;""</f>
        <v/>
      </c>
      <c r="F159" s="46"/>
      <c r="G159" s="47"/>
      <c r="H159" s="47"/>
    </row>
    <row r="160" customFormat="false" ht="12.8" hidden="false" customHeight="false" outlineLevel="0" collapsed="false">
      <c r="A160" s="44" t="n">
        <v>2</v>
      </c>
      <c r="B160" s="44" t="s">
        <v>220</v>
      </c>
      <c r="C160" s="44" t="s">
        <v>158</v>
      </c>
      <c r="D160" s="45" t="str">
        <f aca="true">OFFSET(plates!$B$14,CODE(LEFT(B160,1))-64,-1)&amp;"-"&amp;OFFSET(plates!$B$4,-1,MID(B160,2,3)+0)</f>
        <v>bc258-bc150</v>
      </c>
      <c r="E160" s="46" t="str">
        <f aca="true">OFFSET(plates!$B$14,CODE(LEFT(B160,1))-64,MID(B160,2,3)+0)&amp;""</f>
        <v/>
      </c>
      <c r="F160" s="46"/>
      <c r="G160" s="47"/>
      <c r="H160" s="47"/>
    </row>
    <row r="161" customFormat="false" ht="12.8" hidden="false" customHeight="false" outlineLevel="0" collapsed="false">
      <c r="A161" s="44" t="n">
        <v>2</v>
      </c>
      <c r="B161" s="44" t="s">
        <v>221</v>
      </c>
      <c r="C161" s="44" t="s">
        <v>158</v>
      </c>
      <c r="D161" s="45" t="str">
        <f aca="true">OFFSET(plates!$B$14,CODE(LEFT(B161,1))-64,-1)&amp;"-"&amp;OFFSET(plates!$B$4,-1,MID(B161,2,3)+0)</f>
        <v>bc264-bc150</v>
      </c>
      <c r="E161" s="46" t="str">
        <f aca="true">OFFSET(plates!$B$14,CODE(LEFT(B161,1))-64,MID(B161,2,3)+0)&amp;""</f>
        <v/>
      </c>
      <c r="F161" s="46"/>
      <c r="G161" s="47"/>
      <c r="H161" s="47"/>
    </row>
    <row r="162" customFormat="false" ht="12.8" hidden="false" customHeight="false" outlineLevel="0" collapsed="false">
      <c r="A162" s="44" t="n">
        <v>2</v>
      </c>
      <c r="B162" s="44" t="s">
        <v>222</v>
      </c>
      <c r="C162" s="44" t="s">
        <v>158</v>
      </c>
      <c r="D162" s="45" t="str">
        <f aca="true">OFFSET(plates!$B$14,CODE(LEFT(B162,1))-64,-1)&amp;"-"&amp;OFFSET(plates!$B$4,-1,MID(B162,2,3)+0)</f>
        <v>bc168-bc183</v>
      </c>
      <c r="E162" s="46" t="str">
        <f aca="true">OFFSET(plates!$B$14,CODE(LEFT(B162,1))-64,MID(B162,2,3)+0)&amp;""</f>
        <v/>
      </c>
      <c r="F162" s="46"/>
      <c r="G162" s="47"/>
      <c r="H162" s="47"/>
    </row>
    <row r="163" customFormat="false" ht="12.8" hidden="false" customHeight="false" outlineLevel="0" collapsed="false">
      <c r="A163" s="44" t="n">
        <v>2</v>
      </c>
      <c r="B163" s="44" t="s">
        <v>223</v>
      </c>
      <c r="C163" s="44" t="s">
        <v>158</v>
      </c>
      <c r="D163" s="45" t="str">
        <f aca="true">OFFSET(plates!$B$14,CODE(LEFT(B163,1))-64,-1)&amp;"-"&amp;OFFSET(plates!$B$4,-1,MID(B163,2,3)+0)</f>
        <v>bc183-bc183</v>
      </c>
      <c r="E163" s="46" t="str">
        <f aca="true">OFFSET(plates!$B$14,CODE(LEFT(B163,1))-64,MID(B163,2,3)+0)&amp;""</f>
        <v/>
      </c>
      <c r="F163" s="46"/>
      <c r="G163" s="47"/>
      <c r="H163" s="47"/>
    </row>
    <row r="164" customFormat="false" ht="12.8" hidden="false" customHeight="false" outlineLevel="0" collapsed="false">
      <c r="A164" s="44" t="n">
        <v>2</v>
      </c>
      <c r="B164" s="44" t="s">
        <v>224</v>
      </c>
      <c r="C164" s="44" t="s">
        <v>158</v>
      </c>
      <c r="D164" s="45" t="str">
        <f aca="true">OFFSET(plates!$B$14,CODE(LEFT(B164,1))-64,-1)&amp;"-"&amp;OFFSET(plates!$B$4,-1,MID(B164,2,3)+0)</f>
        <v>bc192-bc183</v>
      </c>
      <c r="E164" s="46" t="str">
        <f aca="true">OFFSET(plates!$B$14,CODE(LEFT(B164,1))-64,MID(B164,2,3)+0)&amp;""</f>
        <v/>
      </c>
      <c r="F164" s="46"/>
      <c r="G164" s="47"/>
      <c r="H164" s="47"/>
    </row>
    <row r="165" customFormat="false" ht="12.8" hidden="false" customHeight="false" outlineLevel="0" collapsed="false">
      <c r="A165" s="44" t="n">
        <v>2</v>
      </c>
      <c r="B165" s="44" t="s">
        <v>225</v>
      </c>
      <c r="C165" s="44" t="s">
        <v>158</v>
      </c>
      <c r="D165" s="45" t="str">
        <f aca="true">OFFSET(plates!$B$14,CODE(LEFT(B165,1))-64,-1)&amp;"-"&amp;OFFSET(plates!$B$4,-1,MID(B165,2,3)+0)</f>
        <v>bc205-bc183</v>
      </c>
      <c r="E165" s="46" t="str">
        <f aca="true">OFFSET(plates!$B$14,CODE(LEFT(B165,1))-64,MID(B165,2,3)+0)&amp;""</f>
        <v/>
      </c>
      <c r="F165" s="46"/>
      <c r="G165" s="47"/>
      <c r="H165" s="47"/>
    </row>
    <row r="166" customFormat="false" ht="12.8" hidden="false" customHeight="false" outlineLevel="0" collapsed="false">
      <c r="A166" s="44" t="n">
        <v>2</v>
      </c>
      <c r="B166" s="44" t="s">
        <v>226</v>
      </c>
      <c r="C166" s="44" t="s">
        <v>158</v>
      </c>
      <c r="D166" s="45" t="str">
        <f aca="true">OFFSET(plates!$B$14,CODE(LEFT(B166,1))-64,-1)&amp;"-"&amp;OFFSET(plates!$B$4,-1,MID(B166,2,3)+0)</f>
        <v>bc219-bc183</v>
      </c>
      <c r="E166" s="46" t="str">
        <f aca="true">OFFSET(plates!$B$14,CODE(LEFT(B166,1))-64,MID(B166,2,3)+0)&amp;""</f>
        <v/>
      </c>
      <c r="F166" s="46"/>
      <c r="G166" s="47"/>
      <c r="H166" s="47"/>
    </row>
    <row r="167" customFormat="false" ht="12.8" hidden="false" customHeight="false" outlineLevel="0" collapsed="false">
      <c r="A167" s="44" t="n">
        <v>2</v>
      </c>
      <c r="B167" s="44" t="s">
        <v>227</v>
      </c>
      <c r="C167" s="44" t="s">
        <v>158</v>
      </c>
      <c r="D167" s="45" t="str">
        <f aca="true">OFFSET(plates!$B$14,CODE(LEFT(B167,1))-64,-1)&amp;"-"&amp;OFFSET(plates!$B$4,-1,MID(B167,2,3)+0)</f>
        <v>bc220-bc183</v>
      </c>
      <c r="E167" s="46" t="str">
        <f aca="true">OFFSET(plates!$B$14,CODE(LEFT(B167,1))-64,MID(B167,2,3)+0)&amp;""</f>
        <v/>
      </c>
      <c r="F167" s="46"/>
      <c r="G167" s="47"/>
      <c r="H167" s="47"/>
    </row>
    <row r="168" customFormat="false" ht="12.8" hidden="false" customHeight="false" outlineLevel="0" collapsed="false">
      <c r="A168" s="44" t="n">
        <v>2</v>
      </c>
      <c r="B168" s="44" t="s">
        <v>228</v>
      </c>
      <c r="C168" s="44" t="s">
        <v>158</v>
      </c>
      <c r="D168" s="45" t="str">
        <f aca="true">OFFSET(plates!$B$14,CODE(LEFT(B168,1))-64,-1)&amp;"-"&amp;OFFSET(plates!$B$4,-1,MID(B168,2,3)+0)</f>
        <v>bc258-bc183</v>
      </c>
      <c r="E168" s="46" t="str">
        <f aca="true">OFFSET(plates!$B$14,CODE(LEFT(B168,1))-64,MID(B168,2,3)+0)&amp;""</f>
        <v/>
      </c>
      <c r="F168" s="46"/>
      <c r="G168" s="47"/>
      <c r="H168" s="47"/>
    </row>
    <row r="169" customFormat="false" ht="12.8" hidden="false" customHeight="false" outlineLevel="0" collapsed="false">
      <c r="A169" s="44" t="n">
        <v>2</v>
      </c>
      <c r="B169" s="44" t="s">
        <v>229</v>
      </c>
      <c r="C169" s="44" t="s">
        <v>158</v>
      </c>
      <c r="D169" s="45" t="str">
        <f aca="true">OFFSET(plates!$B$14,CODE(LEFT(B169,1))-64,-1)&amp;"-"&amp;OFFSET(plates!$B$4,-1,MID(B169,2,3)+0)</f>
        <v>bc264-bc183</v>
      </c>
      <c r="E169" s="46" t="str">
        <f aca="true">OFFSET(plates!$B$14,CODE(LEFT(B169,1))-64,MID(B169,2,3)+0)&amp;""</f>
        <v/>
      </c>
      <c r="F169" s="46"/>
      <c r="G169" s="47"/>
      <c r="H169" s="47"/>
    </row>
    <row r="170" customFormat="false" ht="12.8" hidden="false" customHeight="false" outlineLevel="0" collapsed="false">
      <c r="A170" s="44" t="n">
        <v>2</v>
      </c>
      <c r="B170" s="44" t="s">
        <v>230</v>
      </c>
      <c r="C170" s="44" t="s">
        <v>158</v>
      </c>
      <c r="D170" s="45" t="str">
        <f aca="true">OFFSET(plates!$B$14,CODE(LEFT(B170,1))-64,-1)&amp;"-"&amp;OFFSET(plates!$B$4,-1,MID(B170,2,3)+0)</f>
        <v>bc168-bc218</v>
      </c>
      <c r="E170" s="46" t="str">
        <f aca="true">OFFSET(plates!$B$14,CODE(LEFT(B170,1))-64,MID(B170,2,3)+0)&amp;""</f>
        <v/>
      </c>
      <c r="F170" s="46"/>
      <c r="G170" s="47"/>
      <c r="H170" s="47"/>
    </row>
    <row r="171" customFormat="false" ht="12.8" hidden="false" customHeight="false" outlineLevel="0" collapsed="false">
      <c r="A171" s="44" t="n">
        <v>2</v>
      </c>
      <c r="B171" s="44" t="s">
        <v>231</v>
      </c>
      <c r="C171" s="44" t="s">
        <v>158</v>
      </c>
      <c r="D171" s="45" t="str">
        <f aca="true">OFFSET(plates!$B$14,CODE(LEFT(B171,1))-64,-1)&amp;"-"&amp;OFFSET(plates!$B$4,-1,MID(B171,2,3)+0)</f>
        <v>bc183-bc218</v>
      </c>
      <c r="E171" s="46" t="str">
        <f aca="true">OFFSET(plates!$B$14,CODE(LEFT(B171,1))-64,MID(B171,2,3)+0)&amp;""</f>
        <v/>
      </c>
      <c r="F171" s="46"/>
      <c r="G171" s="47"/>
      <c r="H171" s="47"/>
    </row>
    <row r="172" customFormat="false" ht="12.8" hidden="false" customHeight="false" outlineLevel="0" collapsed="false">
      <c r="A172" s="44" t="n">
        <v>2</v>
      </c>
      <c r="B172" s="44" t="s">
        <v>232</v>
      </c>
      <c r="C172" s="44" t="s">
        <v>158</v>
      </c>
      <c r="D172" s="45" t="str">
        <f aca="true">OFFSET(plates!$B$14,CODE(LEFT(B172,1))-64,-1)&amp;"-"&amp;OFFSET(plates!$B$4,-1,MID(B172,2,3)+0)</f>
        <v>bc192-bc218</v>
      </c>
      <c r="E172" s="46" t="str">
        <f aca="true">OFFSET(plates!$B$14,CODE(LEFT(B172,1))-64,MID(B172,2,3)+0)&amp;""</f>
        <v/>
      </c>
      <c r="F172" s="46"/>
      <c r="G172" s="47"/>
      <c r="H172" s="47"/>
    </row>
    <row r="173" s="48" customFormat="true" ht="12.8" hidden="false" customHeight="false" outlineLevel="0" collapsed="false">
      <c r="A173" s="44" t="n">
        <v>2</v>
      </c>
      <c r="B173" s="44" t="s">
        <v>233</v>
      </c>
      <c r="C173" s="44" t="s">
        <v>158</v>
      </c>
      <c r="D173" s="45" t="str">
        <f aca="true">OFFSET(plates!$B$14,CODE(LEFT(B173,1))-64,-1)&amp;"-"&amp;OFFSET(plates!$B$4,-1,MID(B173,2,3)+0)</f>
        <v>bc205-bc218</v>
      </c>
      <c r="E173" s="46" t="str">
        <f aca="true">OFFSET(plates!$B$14,CODE(LEFT(B173,1))-64,MID(B173,2,3)+0)&amp;""</f>
        <v/>
      </c>
      <c r="F173" s="46"/>
      <c r="G173" s="47"/>
      <c r="H173" s="47"/>
      <c r="I173" s="36"/>
      <c r="J173" s="36"/>
      <c r="K173" s="36"/>
      <c r="L173" s="36"/>
      <c r="M173" s="36"/>
    </row>
    <row r="174" customFormat="false" ht="12.8" hidden="false" customHeight="false" outlineLevel="0" collapsed="false">
      <c r="A174" s="44" t="n">
        <v>2</v>
      </c>
      <c r="B174" s="44" t="s">
        <v>234</v>
      </c>
      <c r="C174" s="44" t="s">
        <v>158</v>
      </c>
      <c r="D174" s="45" t="str">
        <f aca="true">OFFSET(plates!$B$14,CODE(LEFT(B174,1))-64,-1)&amp;"-"&amp;OFFSET(plates!$B$4,-1,MID(B174,2,3)+0)</f>
        <v>bc219-bc218</v>
      </c>
      <c r="E174" s="46" t="str">
        <f aca="true">OFFSET(plates!$B$14,CODE(LEFT(B174,1))-64,MID(B174,2,3)+0)&amp;""</f>
        <v/>
      </c>
      <c r="F174" s="46"/>
      <c r="G174" s="47"/>
      <c r="H174" s="47"/>
    </row>
    <row r="175" customFormat="false" ht="12.8" hidden="false" customHeight="false" outlineLevel="0" collapsed="false">
      <c r="A175" s="44" t="n">
        <v>2</v>
      </c>
      <c r="B175" s="44" t="s">
        <v>235</v>
      </c>
      <c r="C175" s="44" t="s">
        <v>158</v>
      </c>
      <c r="D175" s="45" t="str">
        <f aca="true">OFFSET(plates!$B$14,CODE(LEFT(B175,1))-64,-1)&amp;"-"&amp;OFFSET(plates!$B$4,-1,MID(B175,2,3)+0)</f>
        <v>bc220-bc218</v>
      </c>
      <c r="E175" s="46" t="str">
        <f aca="true">OFFSET(plates!$B$14,CODE(LEFT(B175,1))-64,MID(B175,2,3)+0)&amp;""</f>
        <v/>
      </c>
      <c r="F175" s="46"/>
      <c r="G175" s="47"/>
      <c r="H175" s="47"/>
    </row>
    <row r="176" customFormat="false" ht="12.8" hidden="false" customHeight="false" outlineLevel="0" collapsed="false">
      <c r="A176" s="44" t="n">
        <v>2</v>
      </c>
      <c r="B176" s="44" t="s">
        <v>236</v>
      </c>
      <c r="C176" s="44" t="s">
        <v>158</v>
      </c>
      <c r="D176" s="45" t="str">
        <f aca="true">OFFSET(plates!$B$14,CODE(LEFT(B176,1))-64,-1)&amp;"-"&amp;OFFSET(plates!$B$4,-1,MID(B176,2,3)+0)</f>
        <v>bc258-bc218</v>
      </c>
      <c r="E176" s="46" t="str">
        <f aca="true">OFFSET(plates!$B$14,CODE(LEFT(B176,1))-64,MID(B176,2,3)+0)&amp;""</f>
        <v/>
      </c>
      <c r="F176" s="46"/>
      <c r="G176" s="47"/>
      <c r="H176" s="47"/>
    </row>
    <row r="177" customFormat="false" ht="12.8" hidden="false" customHeight="false" outlineLevel="0" collapsed="false">
      <c r="A177" s="44" t="n">
        <v>2</v>
      </c>
      <c r="B177" s="44" t="s">
        <v>237</v>
      </c>
      <c r="C177" s="44" t="s">
        <v>158</v>
      </c>
      <c r="D177" s="45" t="str">
        <f aca="true">OFFSET(plates!$B$14,CODE(LEFT(B177,1))-64,-1)&amp;"-"&amp;OFFSET(plates!$B$4,-1,MID(B177,2,3)+0)</f>
        <v>bc264-bc218</v>
      </c>
      <c r="E177" s="46" t="str">
        <f aca="true">OFFSET(plates!$B$14,CODE(LEFT(B177,1))-64,MID(B177,2,3)+0)&amp;""</f>
        <v/>
      </c>
      <c r="F177" s="46"/>
      <c r="G177" s="47"/>
      <c r="H177" s="47"/>
    </row>
    <row r="178" customFormat="false" ht="12.8" hidden="false" customHeight="false" outlineLevel="0" collapsed="false">
      <c r="A178" s="44" t="n">
        <v>2</v>
      </c>
      <c r="B178" s="44" t="s">
        <v>238</v>
      </c>
      <c r="C178" s="44" t="s">
        <v>158</v>
      </c>
      <c r="D178" s="45" t="str">
        <f aca="true">OFFSET(plates!$B$14,CODE(LEFT(B178,1))-64,-1)&amp;"-"&amp;OFFSET(plates!$B$4,-1,MID(B178,2,3)+0)</f>
        <v>bc168-bc219</v>
      </c>
      <c r="E178" s="46" t="str">
        <f aca="true">OFFSET(plates!$B$14,CODE(LEFT(B178,1))-64,MID(B178,2,3)+0)&amp;""</f>
        <v/>
      </c>
      <c r="F178" s="46"/>
      <c r="G178" s="47"/>
      <c r="H178" s="47"/>
    </row>
    <row r="179" customFormat="false" ht="12.8" hidden="false" customHeight="false" outlineLevel="0" collapsed="false">
      <c r="A179" s="44" t="n">
        <v>2</v>
      </c>
      <c r="B179" s="44" t="s">
        <v>239</v>
      </c>
      <c r="C179" s="44" t="s">
        <v>158</v>
      </c>
      <c r="D179" s="45" t="str">
        <f aca="true">OFFSET(plates!$B$14,CODE(LEFT(B179,1))-64,-1)&amp;"-"&amp;OFFSET(plates!$B$4,-1,MID(B179,2,3)+0)</f>
        <v>bc183-bc219</v>
      </c>
      <c r="E179" s="46" t="str">
        <f aca="true">OFFSET(plates!$B$14,CODE(LEFT(B179,1))-64,MID(B179,2,3)+0)&amp;""</f>
        <v/>
      </c>
      <c r="F179" s="46"/>
      <c r="G179" s="47"/>
      <c r="H179" s="47"/>
    </row>
    <row r="180" customFormat="false" ht="12.8" hidden="false" customHeight="false" outlineLevel="0" collapsed="false">
      <c r="A180" s="44" t="n">
        <v>2</v>
      </c>
      <c r="B180" s="44" t="s">
        <v>240</v>
      </c>
      <c r="C180" s="44" t="s">
        <v>158</v>
      </c>
      <c r="D180" s="45" t="str">
        <f aca="true">OFFSET(plates!$B$14,CODE(LEFT(B180,1))-64,-1)&amp;"-"&amp;OFFSET(plates!$B$4,-1,MID(B180,2,3)+0)</f>
        <v>bc192-bc219</v>
      </c>
      <c r="E180" s="46" t="str">
        <f aca="true">OFFSET(plates!$B$14,CODE(LEFT(B180,1))-64,MID(B180,2,3)+0)&amp;""</f>
        <v/>
      </c>
      <c r="F180" s="46"/>
      <c r="G180" s="47"/>
      <c r="H180" s="47"/>
    </row>
    <row r="181" customFormat="false" ht="12.8" hidden="false" customHeight="false" outlineLevel="0" collapsed="false">
      <c r="A181" s="44" t="n">
        <v>2</v>
      </c>
      <c r="B181" s="44" t="s">
        <v>241</v>
      </c>
      <c r="C181" s="44" t="s">
        <v>158</v>
      </c>
      <c r="D181" s="45" t="str">
        <f aca="true">OFFSET(plates!$B$14,CODE(LEFT(B181,1))-64,-1)&amp;"-"&amp;OFFSET(plates!$B$4,-1,MID(B181,2,3)+0)</f>
        <v>bc205-bc219</v>
      </c>
      <c r="E181" s="46" t="str">
        <f aca="true">OFFSET(plates!$B$14,CODE(LEFT(B181,1))-64,MID(B181,2,3)+0)&amp;""</f>
        <v/>
      </c>
      <c r="F181" s="46"/>
      <c r="G181" s="47"/>
      <c r="H181" s="47"/>
    </row>
    <row r="182" customFormat="false" ht="12.8" hidden="false" customHeight="false" outlineLevel="0" collapsed="false">
      <c r="A182" s="44" t="n">
        <v>2</v>
      </c>
      <c r="B182" s="44" t="s">
        <v>242</v>
      </c>
      <c r="C182" s="44" t="s">
        <v>158</v>
      </c>
      <c r="D182" s="45" t="str">
        <f aca="true">OFFSET(plates!$B$14,CODE(LEFT(B182,1))-64,-1)&amp;"-"&amp;OFFSET(plates!$B$4,-1,MID(B182,2,3)+0)</f>
        <v>bc219-bc219</v>
      </c>
      <c r="E182" s="46" t="str">
        <f aca="true">OFFSET(plates!$B$14,CODE(LEFT(B182,1))-64,MID(B182,2,3)+0)&amp;""</f>
        <v/>
      </c>
      <c r="F182" s="46"/>
      <c r="G182" s="47"/>
      <c r="H182" s="47"/>
    </row>
    <row r="183" customFormat="false" ht="12.8" hidden="false" customHeight="false" outlineLevel="0" collapsed="false">
      <c r="A183" s="44" t="n">
        <v>2</v>
      </c>
      <c r="B183" s="44" t="s">
        <v>243</v>
      </c>
      <c r="C183" s="44" t="s">
        <v>158</v>
      </c>
      <c r="D183" s="45" t="str">
        <f aca="true">OFFSET(plates!$B$14,CODE(LEFT(B183,1))-64,-1)&amp;"-"&amp;OFFSET(plates!$B$4,-1,MID(B183,2,3)+0)</f>
        <v>bc220-bc219</v>
      </c>
      <c r="E183" s="46" t="str">
        <f aca="true">OFFSET(plates!$B$14,CODE(LEFT(B183,1))-64,MID(B183,2,3)+0)&amp;""</f>
        <v/>
      </c>
      <c r="F183" s="46"/>
      <c r="G183" s="47"/>
      <c r="H183" s="47"/>
    </row>
    <row r="184" customFormat="false" ht="12.8" hidden="false" customHeight="false" outlineLevel="0" collapsed="false">
      <c r="A184" s="44" t="n">
        <v>2</v>
      </c>
      <c r="B184" s="44" t="s">
        <v>244</v>
      </c>
      <c r="C184" s="44" t="s">
        <v>158</v>
      </c>
      <c r="D184" s="45" t="str">
        <f aca="true">OFFSET(plates!$B$14,CODE(LEFT(B184,1))-64,-1)&amp;"-"&amp;OFFSET(plates!$B$4,-1,MID(B184,2,3)+0)</f>
        <v>bc258-bc219</v>
      </c>
      <c r="E184" s="46" t="str">
        <f aca="true">OFFSET(plates!$B$14,CODE(LEFT(B184,1))-64,MID(B184,2,3)+0)&amp;""</f>
        <v/>
      </c>
      <c r="F184" s="46"/>
      <c r="G184" s="47"/>
      <c r="H184" s="47"/>
    </row>
    <row r="185" customFormat="false" ht="12.8" hidden="false" customHeight="false" outlineLevel="0" collapsed="false">
      <c r="A185" s="44" t="n">
        <v>2</v>
      </c>
      <c r="B185" s="44" t="s">
        <v>245</v>
      </c>
      <c r="C185" s="44" t="s">
        <v>158</v>
      </c>
      <c r="D185" s="45" t="str">
        <f aca="true">OFFSET(plates!$B$14,CODE(LEFT(B185,1))-64,-1)&amp;"-"&amp;OFFSET(plates!$B$4,-1,MID(B185,2,3)+0)</f>
        <v>bc264-bc219</v>
      </c>
      <c r="E185" s="46" t="str">
        <f aca="true">OFFSET(plates!$B$14,CODE(LEFT(B185,1))-64,MID(B185,2,3)+0)&amp;""</f>
        <v/>
      </c>
      <c r="F185" s="46"/>
      <c r="G185" s="47"/>
      <c r="H185" s="47"/>
    </row>
    <row r="186" customFormat="false" ht="12.8" hidden="false" customHeight="false" outlineLevel="0" collapsed="false">
      <c r="A186" s="44" t="n">
        <v>2</v>
      </c>
      <c r="B186" s="44" t="s">
        <v>246</v>
      </c>
      <c r="C186" s="44" t="s">
        <v>158</v>
      </c>
      <c r="D186" s="45" t="str">
        <f aca="true">OFFSET(plates!$B$14,CODE(LEFT(B186,1))-64,-1)&amp;"-"&amp;OFFSET(plates!$B$4,-1,MID(B186,2,3)+0)</f>
        <v>bc168-bc245</v>
      </c>
      <c r="E186" s="46" t="str">
        <f aca="true">OFFSET(plates!$B$14,CODE(LEFT(B186,1))-64,MID(B186,2,3)+0)&amp;""</f>
        <v/>
      </c>
      <c r="F186" s="46"/>
      <c r="G186" s="47"/>
      <c r="H186" s="47"/>
    </row>
    <row r="187" customFormat="false" ht="12.8" hidden="false" customHeight="false" outlineLevel="0" collapsed="false">
      <c r="A187" s="44" t="n">
        <v>2</v>
      </c>
      <c r="B187" s="44" t="s">
        <v>247</v>
      </c>
      <c r="C187" s="44" t="s">
        <v>158</v>
      </c>
      <c r="D187" s="45" t="str">
        <f aca="true">OFFSET(plates!$B$14,CODE(LEFT(B187,1))-64,-1)&amp;"-"&amp;OFFSET(plates!$B$4,-1,MID(B187,2,3)+0)</f>
        <v>bc183-bc245</v>
      </c>
      <c r="E187" s="46" t="str">
        <f aca="true">OFFSET(plates!$B$14,CODE(LEFT(B187,1))-64,MID(B187,2,3)+0)&amp;""</f>
        <v/>
      </c>
      <c r="F187" s="46"/>
      <c r="G187" s="47"/>
      <c r="H187" s="47"/>
    </row>
    <row r="188" customFormat="false" ht="12.8" hidden="false" customHeight="false" outlineLevel="0" collapsed="false">
      <c r="A188" s="44" t="n">
        <v>2</v>
      </c>
      <c r="B188" s="44" t="s">
        <v>248</v>
      </c>
      <c r="C188" s="44" t="s">
        <v>158</v>
      </c>
      <c r="D188" s="45" t="str">
        <f aca="true">OFFSET(plates!$B$14,CODE(LEFT(B188,1))-64,-1)&amp;"-"&amp;OFFSET(plates!$B$4,-1,MID(B188,2,3)+0)</f>
        <v>bc192-bc245</v>
      </c>
      <c r="E188" s="46" t="str">
        <f aca="true">OFFSET(plates!$B$14,CODE(LEFT(B188,1))-64,MID(B188,2,3)+0)&amp;""</f>
        <v/>
      </c>
      <c r="F188" s="46"/>
      <c r="G188" s="47"/>
      <c r="H188" s="47"/>
    </row>
    <row r="189" customFormat="false" ht="12.8" hidden="false" customHeight="false" outlineLevel="0" collapsed="false">
      <c r="A189" s="44" t="n">
        <v>2</v>
      </c>
      <c r="B189" s="44" t="s">
        <v>249</v>
      </c>
      <c r="C189" s="44" t="s">
        <v>158</v>
      </c>
      <c r="D189" s="45" t="str">
        <f aca="true">OFFSET(plates!$B$14,CODE(LEFT(B189,1))-64,-1)&amp;"-"&amp;OFFSET(plates!$B$4,-1,MID(B189,2,3)+0)</f>
        <v>bc205-bc245</v>
      </c>
      <c r="E189" s="46" t="str">
        <f aca="true">OFFSET(plates!$B$14,CODE(LEFT(B189,1))-64,MID(B189,2,3)+0)&amp;""</f>
        <v/>
      </c>
      <c r="F189" s="46"/>
      <c r="G189" s="47"/>
      <c r="H189" s="47"/>
    </row>
    <row r="190" customFormat="false" ht="12.8" hidden="false" customHeight="false" outlineLevel="0" collapsed="false">
      <c r="A190" s="44" t="n">
        <v>2</v>
      </c>
      <c r="B190" s="44" t="s">
        <v>250</v>
      </c>
      <c r="C190" s="44" t="s">
        <v>158</v>
      </c>
      <c r="D190" s="45" t="str">
        <f aca="true">OFFSET(plates!$B$14,CODE(LEFT(B190,1))-64,-1)&amp;"-"&amp;OFFSET(plates!$B$4,-1,MID(B190,2,3)+0)</f>
        <v>bc219-bc245</v>
      </c>
      <c r="E190" s="46" t="str">
        <f aca="true">OFFSET(plates!$B$14,CODE(LEFT(B190,1))-64,MID(B190,2,3)+0)&amp;""</f>
        <v/>
      </c>
      <c r="F190" s="46"/>
      <c r="G190" s="47"/>
      <c r="H190" s="47"/>
    </row>
    <row r="191" customFormat="false" ht="12.8" hidden="false" customHeight="false" outlineLevel="0" collapsed="false">
      <c r="A191" s="44" t="n">
        <v>2</v>
      </c>
      <c r="B191" s="44" t="s">
        <v>251</v>
      </c>
      <c r="C191" s="44" t="s">
        <v>158</v>
      </c>
      <c r="D191" s="45" t="str">
        <f aca="true">OFFSET(plates!$B$14,CODE(LEFT(B191,1))-64,-1)&amp;"-"&amp;OFFSET(plates!$B$4,-1,MID(B191,2,3)+0)</f>
        <v>bc220-bc245</v>
      </c>
      <c r="E191" s="46" t="str">
        <f aca="true">OFFSET(plates!$B$14,CODE(LEFT(B191,1))-64,MID(B191,2,3)+0)&amp;""</f>
        <v/>
      </c>
      <c r="F191" s="46"/>
      <c r="G191" s="47"/>
      <c r="H191" s="47"/>
      <c r="I191" s="36"/>
      <c r="J191" s="36"/>
      <c r="K191" s="36"/>
      <c r="L191" s="36"/>
      <c r="M191" s="36"/>
    </row>
    <row r="192" customFormat="false" ht="12.8" hidden="false" customHeight="false" outlineLevel="0" collapsed="false">
      <c r="A192" s="44" t="n">
        <v>2</v>
      </c>
      <c r="B192" s="44" t="s">
        <v>252</v>
      </c>
      <c r="C192" s="44" t="s">
        <v>158</v>
      </c>
      <c r="D192" s="45" t="str">
        <f aca="true">OFFSET(plates!$B$14,CODE(LEFT(B192,1))-64,-1)&amp;"-"&amp;OFFSET(plates!$B$4,-1,MID(B192,2,3)+0)</f>
        <v>bc258-bc245</v>
      </c>
      <c r="E192" s="46" t="str">
        <f aca="true">OFFSET(plates!$B$14,CODE(LEFT(B192,1))-64,MID(B192,2,3)+0)&amp;""</f>
        <v/>
      </c>
      <c r="F192" s="46"/>
      <c r="G192" s="47"/>
      <c r="H192" s="47"/>
    </row>
    <row r="193" customFormat="false" ht="12.8" hidden="false" customHeight="false" outlineLevel="0" collapsed="false">
      <c r="A193" s="44" t="n">
        <v>2</v>
      </c>
      <c r="B193" s="44" t="s">
        <v>253</v>
      </c>
      <c r="C193" s="44" t="s">
        <v>158</v>
      </c>
      <c r="D193" s="45" t="str">
        <f aca="true">OFFSET(plates!$B$14,CODE(LEFT(B193,1))-64,-1)&amp;"-"&amp;OFFSET(plates!$B$4,-1,MID(B193,2,3)+0)</f>
        <v>bc264-bc245</v>
      </c>
      <c r="E193" s="46" t="str">
        <f aca="true">OFFSET(plates!$B$14,CODE(LEFT(B193,1))-64,MID(B193,2,3)+0)&amp;""</f>
        <v/>
      </c>
      <c r="F193" s="46"/>
      <c r="G193" s="47"/>
      <c r="H193" s="47"/>
      <c r="I193" s="36"/>
      <c r="J193" s="36"/>
      <c r="K193" s="36"/>
    </row>
    <row r="194" customFormat="false" ht="12.8" hidden="false" customHeight="false" outlineLevel="0" collapsed="false">
      <c r="A194" s="44" t="n">
        <v>3</v>
      </c>
      <c r="B194" s="44" t="s">
        <v>157</v>
      </c>
      <c r="C194" s="44" t="s">
        <v>158</v>
      </c>
      <c r="D194" s="45" t="str">
        <f aca="true">OFFSET(plates!$B$24,CODE(LEFT(B194,1))-64,-1)&amp;"-"&amp;OFFSET(plates!$B$4,-1,MID(B194,2,3)+0)</f>
        <v>bc272-bc019</v>
      </c>
      <c r="E194" s="46" t="str">
        <f aca="true">OFFSET(plates!$B$24,CODE(LEFT(B194,1))-64,MID(B194,2,3)+0)&amp;""</f>
        <v/>
      </c>
      <c r="F194" s="46"/>
      <c r="G194" s="47"/>
      <c r="H194" s="47"/>
    </row>
    <row r="195" customFormat="false" ht="12.8" hidden="false" customHeight="false" outlineLevel="0" collapsed="false">
      <c r="A195" s="44" t="n">
        <v>3</v>
      </c>
      <c r="B195" s="44" t="s">
        <v>159</v>
      </c>
      <c r="C195" s="44" t="s">
        <v>158</v>
      </c>
      <c r="D195" s="45" t="str">
        <f aca="true">OFFSET(plates!$B$24,CODE(LEFT(B195,1))-64,-1)&amp;"-"&amp;OFFSET(plates!$B$4,-1,MID(B195,2,3)+0)</f>
        <v>bc277-bc019</v>
      </c>
      <c r="E195" s="46" t="str">
        <f aca="true">OFFSET(plates!$B$24,CODE(LEFT(B195,1))-64,MID(B195,2,3)+0)&amp;""</f>
        <v/>
      </c>
      <c r="F195" s="46"/>
      <c r="G195" s="47"/>
      <c r="H195" s="47"/>
    </row>
    <row r="196" customFormat="false" ht="12.8" hidden="false" customHeight="false" outlineLevel="0" collapsed="false">
      <c r="A196" s="44" t="n">
        <v>3</v>
      </c>
      <c r="B196" s="44" t="s">
        <v>160</v>
      </c>
      <c r="C196" s="44" t="s">
        <v>158</v>
      </c>
      <c r="D196" s="45" t="str">
        <f aca="true">OFFSET(plates!$B$24,CODE(LEFT(B196,1))-64,-1)&amp;"-"&amp;OFFSET(plates!$B$4,-1,MID(B196,2,3)+0)</f>
        <v>bc282-bc019</v>
      </c>
      <c r="E196" s="46" t="str">
        <f aca="true">OFFSET(plates!$B$24,CODE(LEFT(B196,1))-64,MID(B196,2,3)+0)&amp;""</f>
        <v/>
      </c>
      <c r="F196" s="46"/>
      <c r="G196" s="47"/>
      <c r="H196" s="47"/>
    </row>
    <row r="197" customFormat="false" ht="12.8" hidden="false" customHeight="false" outlineLevel="0" collapsed="false">
      <c r="A197" s="44" t="n">
        <v>3</v>
      </c>
      <c r="B197" s="44" t="s">
        <v>161</v>
      </c>
      <c r="C197" s="44" t="s">
        <v>158</v>
      </c>
      <c r="D197" s="45" t="str">
        <f aca="true">OFFSET(plates!$B$24,CODE(LEFT(B197,1))-64,-1)&amp;"-"&amp;OFFSET(plates!$B$4,-1,MID(B197,2,3)+0)</f>
        <v>bc286-bc019</v>
      </c>
      <c r="E197" s="46" t="str">
        <f aca="true">OFFSET(plates!$B$24,CODE(LEFT(B197,1))-64,MID(B197,2,3)+0)&amp;""</f>
        <v/>
      </c>
      <c r="F197" s="46"/>
      <c r="G197" s="47"/>
      <c r="H197" s="47"/>
    </row>
    <row r="198" customFormat="false" ht="12.8" hidden="false" customHeight="false" outlineLevel="0" collapsed="false">
      <c r="A198" s="44" t="n">
        <v>3</v>
      </c>
      <c r="B198" s="44" t="s">
        <v>162</v>
      </c>
      <c r="C198" s="44" t="s">
        <v>158</v>
      </c>
      <c r="D198" s="45" t="str">
        <f aca="true">OFFSET(plates!$B$24,CODE(LEFT(B198,1))-64,-1)&amp;"-"&amp;OFFSET(plates!$B$4,-1,MID(B198,2,3)+0)</f>
        <v>bc298-bc019</v>
      </c>
      <c r="E198" s="46" t="str">
        <f aca="true">OFFSET(plates!$B$24,CODE(LEFT(B198,1))-64,MID(B198,2,3)+0)&amp;""</f>
        <v/>
      </c>
      <c r="F198" s="46"/>
      <c r="G198" s="47"/>
      <c r="H198" s="47"/>
    </row>
    <row r="199" customFormat="false" ht="12.8" hidden="false" customHeight="false" outlineLevel="0" collapsed="false">
      <c r="A199" s="44" t="n">
        <v>3</v>
      </c>
      <c r="B199" s="44" t="s">
        <v>163</v>
      </c>
      <c r="C199" s="44" t="s">
        <v>158</v>
      </c>
      <c r="D199" s="45" t="str">
        <f aca="true">OFFSET(plates!$B$24,CODE(LEFT(B199,1))-64,-1)&amp;"-"&amp;OFFSET(plates!$B$4,-1,MID(B199,2,3)+0)</f>
        <v>bc314-bc019</v>
      </c>
      <c r="E199" s="46" t="str">
        <f aca="true">OFFSET(plates!$B$24,CODE(LEFT(B199,1))-64,MID(B199,2,3)+0)&amp;""</f>
        <v/>
      </c>
      <c r="F199" s="46"/>
      <c r="G199" s="47"/>
      <c r="H199" s="47"/>
    </row>
    <row r="200" customFormat="false" ht="12.8" hidden="false" customHeight="false" outlineLevel="0" collapsed="false">
      <c r="A200" s="44" t="n">
        <v>3</v>
      </c>
      <c r="B200" s="44" t="s">
        <v>164</v>
      </c>
      <c r="C200" s="44" t="s">
        <v>158</v>
      </c>
      <c r="D200" s="45" t="str">
        <f aca="true">OFFSET(plates!$B$24,CODE(LEFT(B200,1))-64,-1)&amp;"-"&amp;OFFSET(plates!$B$4,-1,MID(B200,2,3)+0)</f>
        <v>bc321-bc019</v>
      </c>
      <c r="E200" s="46" t="str">
        <f aca="true">OFFSET(plates!$B$24,CODE(LEFT(B200,1))-64,MID(B200,2,3)+0)&amp;""</f>
        <v/>
      </c>
      <c r="F200" s="46"/>
      <c r="G200" s="47"/>
      <c r="H200" s="47"/>
    </row>
    <row r="201" customFormat="false" ht="12.8" hidden="false" customHeight="false" outlineLevel="0" collapsed="false">
      <c r="A201" s="44" t="n">
        <v>3</v>
      </c>
      <c r="B201" s="44" t="s">
        <v>165</v>
      </c>
      <c r="C201" s="44" t="s">
        <v>158</v>
      </c>
      <c r="D201" s="45" t="str">
        <f aca="true">OFFSET(plates!$B$24,CODE(LEFT(B201,1))-64,-1)&amp;"-"&amp;OFFSET(plates!$B$4,-1,MID(B201,2,3)+0)</f>
        <v>bc324-bc019</v>
      </c>
      <c r="E201" s="46" t="str">
        <f aca="true">OFFSET(plates!$B$24,CODE(LEFT(B201,1))-64,MID(B201,2,3)+0)&amp;""</f>
        <v/>
      </c>
      <c r="F201" s="46"/>
      <c r="G201" s="47"/>
      <c r="H201" s="47"/>
    </row>
    <row r="202" customFormat="false" ht="12.8" hidden="false" customHeight="false" outlineLevel="0" collapsed="false">
      <c r="A202" s="44" t="n">
        <v>3</v>
      </c>
      <c r="B202" s="44" t="s">
        <v>166</v>
      </c>
      <c r="C202" s="44" t="s">
        <v>158</v>
      </c>
      <c r="D202" s="45" t="str">
        <f aca="true">OFFSET(plates!$B$24,CODE(LEFT(B202,1))-64,-1)&amp;"-"&amp;OFFSET(plates!$B$4,-1,MID(B202,2,3)+0)</f>
        <v>bc272-bc062</v>
      </c>
      <c r="E202" s="46" t="str">
        <f aca="true">OFFSET(plates!$B$24,CODE(LEFT(B202,1))-64,MID(B202,2,3)+0)&amp;""</f>
        <v/>
      </c>
      <c r="F202" s="46"/>
      <c r="G202" s="47"/>
      <c r="H202" s="47"/>
    </row>
    <row r="203" customFormat="false" ht="12.8" hidden="false" customHeight="false" outlineLevel="0" collapsed="false">
      <c r="A203" s="44" t="n">
        <v>3</v>
      </c>
      <c r="B203" s="44" t="s">
        <v>167</v>
      </c>
      <c r="C203" s="44" t="s">
        <v>158</v>
      </c>
      <c r="D203" s="45" t="str">
        <f aca="true">OFFSET(plates!$B$24,CODE(LEFT(B203,1))-64,-1)&amp;"-"&amp;OFFSET(plates!$B$4,-1,MID(B203,2,3)+0)</f>
        <v>bc277-bc062</v>
      </c>
      <c r="E203" s="46" t="str">
        <f aca="true">OFFSET(plates!$B$24,CODE(LEFT(B203,1))-64,MID(B203,2,3)+0)&amp;""</f>
        <v/>
      </c>
      <c r="F203" s="46"/>
      <c r="G203" s="47"/>
      <c r="H203" s="47"/>
    </row>
    <row r="204" customFormat="false" ht="12.8" hidden="false" customHeight="false" outlineLevel="0" collapsed="false">
      <c r="A204" s="44" t="n">
        <v>3</v>
      </c>
      <c r="B204" s="44" t="s">
        <v>168</v>
      </c>
      <c r="C204" s="44" t="s">
        <v>158</v>
      </c>
      <c r="D204" s="45" t="str">
        <f aca="true">OFFSET(plates!$B$24,CODE(LEFT(B204,1))-64,-1)&amp;"-"&amp;OFFSET(plates!$B$4,-1,MID(B204,2,3)+0)</f>
        <v>bc282-bc062</v>
      </c>
      <c r="E204" s="46" t="str">
        <f aca="true">OFFSET(plates!$B$24,CODE(LEFT(B204,1))-64,MID(B204,2,3)+0)&amp;""</f>
        <v/>
      </c>
      <c r="F204" s="46"/>
      <c r="G204" s="47"/>
      <c r="H204" s="47"/>
    </row>
    <row r="205" customFormat="false" ht="12.8" hidden="false" customHeight="false" outlineLevel="0" collapsed="false">
      <c r="A205" s="44" t="n">
        <v>3</v>
      </c>
      <c r="B205" s="44" t="s">
        <v>169</v>
      </c>
      <c r="C205" s="44" t="s">
        <v>158</v>
      </c>
      <c r="D205" s="45" t="str">
        <f aca="true">OFFSET(plates!$B$24,CODE(LEFT(B205,1))-64,-1)&amp;"-"&amp;OFFSET(plates!$B$4,-1,MID(B205,2,3)+0)</f>
        <v>bc286-bc062</v>
      </c>
      <c r="E205" s="46" t="str">
        <f aca="true">OFFSET(plates!$B$24,CODE(LEFT(B205,1))-64,MID(B205,2,3)+0)&amp;""</f>
        <v/>
      </c>
      <c r="F205" s="46"/>
      <c r="G205" s="47"/>
      <c r="H205" s="47"/>
    </row>
    <row r="206" customFormat="false" ht="12.8" hidden="false" customHeight="false" outlineLevel="0" collapsed="false">
      <c r="A206" s="44" t="n">
        <v>3</v>
      </c>
      <c r="B206" s="44" t="s">
        <v>170</v>
      </c>
      <c r="C206" s="44" t="s">
        <v>158</v>
      </c>
      <c r="D206" s="45" t="str">
        <f aca="true">OFFSET(plates!$B$24,CODE(LEFT(B206,1))-64,-1)&amp;"-"&amp;OFFSET(plates!$B$4,-1,MID(B206,2,3)+0)</f>
        <v>bc298-bc062</v>
      </c>
      <c r="E206" s="46" t="str">
        <f aca="true">OFFSET(plates!$B$24,CODE(LEFT(B206,1))-64,MID(B206,2,3)+0)&amp;""</f>
        <v/>
      </c>
      <c r="F206" s="46"/>
      <c r="G206" s="47"/>
      <c r="H206" s="47"/>
    </row>
    <row r="207" customFormat="false" ht="12.8" hidden="false" customHeight="false" outlineLevel="0" collapsed="false">
      <c r="A207" s="44" t="n">
        <v>3</v>
      </c>
      <c r="B207" s="44" t="s">
        <v>171</v>
      </c>
      <c r="C207" s="44" t="s">
        <v>158</v>
      </c>
      <c r="D207" s="45" t="str">
        <f aca="true">OFFSET(plates!$B$24,CODE(LEFT(B207,1))-64,-1)&amp;"-"&amp;OFFSET(plates!$B$4,-1,MID(B207,2,3)+0)</f>
        <v>bc314-bc062</v>
      </c>
      <c r="E207" s="46" t="str">
        <f aca="true">OFFSET(plates!$B$24,CODE(LEFT(B207,1))-64,MID(B207,2,3)+0)&amp;""</f>
        <v/>
      </c>
      <c r="F207" s="46"/>
      <c r="G207" s="47"/>
      <c r="H207" s="47"/>
    </row>
    <row r="208" customFormat="false" ht="12.8" hidden="false" customHeight="false" outlineLevel="0" collapsed="false">
      <c r="A208" s="44" t="n">
        <v>3</v>
      </c>
      <c r="B208" s="44" t="s">
        <v>172</v>
      </c>
      <c r="C208" s="44" t="s">
        <v>158</v>
      </c>
      <c r="D208" s="45" t="str">
        <f aca="true">OFFSET(plates!$B$24,CODE(LEFT(B208,1))-64,-1)&amp;"-"&amp;OFFSET(plates!$B$4,-1,MID(B208,2,3)+0)</f>
        <v>bc321-bc062</v>
      </c>
      <c r="E208" s="46" t="str">
        <f aca="true">OFFSET(plates!$B$24,CODE(LEFT(B208,1))-64,MID(B208,2,3)+0)&amp;""</f>
        <v/>
      </c>
      <c r="F208" s="46"/>
      <c r="G208" s="47"/>
      <c r="H208" s="47"/>
    </row>
    <row r="209" customFormat="false" ht="12.8" hidden="false" customHeight="false" outlineLevel="0" collapsed="false">
      <c r="A209" s="44" t="n">
        <v>3</v>
      </c>
      <c r="B209" s="44" t="s">
        <v>173</v>
      </c>
      <c r="C209" s="44" t="s">
        <v>158</v>
      </c>
      <c r="D209" s="45" t="str">
        <f aca="true">OFFSET(plates!$B$24,CODE(LEFT(B209,1))-64,-1)&amp;"-"&amp;OFFSET(plates!$B$4,-1,MID(B209,2,3)+0)</f>
        <v>bc324-bc062</v>
      </c>
      <c r="E209" s="46" t="str">
        <f aca="true">OFFSET(plates!$B$24,CODE(LEFT(B209,1))-64,MID(B209,2,3)+0)&amp;""</f>
        <v/>
      </c>
      <c r="F209" s="46"/>
      <c r="G209" s="47"/>
      <c r="H209" s="47"/>
    </row>
    <row r="210" customFormat="false" ht="12.8" hidden="false" customHeight="false" outlineLevel="0" collapsed="false">
      <c r="A210" s="44" t="n">
        <v>3</v>
      </c>
      <c r="B210" s="44" t="s">
        <v>174</v>
      </c>
      <c r="C210" s="44" t="s">
        <v>158</v>
      </c>
      <c r="D210" s="45" t="str">
        <f aca="true">OFFSET(plates!$B$24,CODE(LEFT(B210,1))-64,-1)&amp;"-"&amp;OFFSET(plates!$B$4,-1,MID(B210,2,3)+0)</f>
        <v>bc272-bc065</v>
      </c>
      <c r="E210" s="46" t="str">
        <f aca="true">OFFSET(plates!$B$24,CODE(LEFT(B210,1))-64,MID(B210,2,3)+0)&amp;""</f>
        <v/>
      </c>
      <c r="F210" s="46"/>
      <c r="G210" s="47"/>
      <c r="H210" s="47"/>
    </row>
    <row r="211" customFormat="false" ht="12.8" hidden="false" customHeight="false" outlineLevel="0" collapsed="false">
      <c r="A211" s="44" t="n">
        <v>3</v>
      </c>
      <c r="B211" s="44" t="s">
        <v>175</v>
      </c>
      <c r="C211" s="44" t="s">
        <v>158</v>
      </c>
      <c r="D211" s="45" t="str">
        <f aca="true">OFFSET(plates!$B$24,CODE(LEFT(B211,1))-64,-1)&amp;"-"&amp;OFFSET(plates!$B$4,-1,MID(B211,2,3)+0)</f>
        <v>bc277-bc065</v>
      </c>
      <c r="E211" s="46" t="str">
        <f aca="true">OFFSET(plates!$B$24,CODE(LEFT(B211,1))-64,MID(B211,2,3)+0)&amp;""</f>
        <v/>
      </c>
      <c r="F211" s="46"/>
      <c r="G211" s="47"/>
      <c r="H211" s="47"/>
    </row>
    <row r="212" customFormat="false" ht="12.8" hidden="false" customHeight="false" outlineLevel="0" collapsed="false">
      <c r="A212" s="44" t="n">
        <v>3</v>
      </c>
      <c r="B212" s="44" t="s">
        <v>176</v>
      </c>
      <c r="C212" s="44" t="s">
        <v>158</v>
      </c>
      <c r="D212" s="45" t="str">
        <f aca="true">OFFSET(plates!$B$24,CODE(LEFT(B212,1))-64,-1)&amp;"-"&amp;OFFSET(plates!$B$4,-1,MID(B212,2,3)+0)</f>
        <v>bc282-bc065</v>
      </c>
      <c r="E212" s="46" t="str">
        <f aca="true">OFFSET(plates!$B$24,CODE(LEFT(B212,1))-64,MID(B212,2,3)+0)&amp;""</f>
        <v/>
      </c>
      <c r="F212" s="46"/>
      <c r="G212" s="47"/>
      <c r="H212" s="47"/>
    </row>
    <row r="213" customFormat="false" ht="12.8" hidden="false" customHeight="false" outlineLevel="0" collapsed="false">
      <c r="A213" s="44" t="n">
        <v>3</v>
      </c>
      <c r="B213" s="44" t="s">
        <v>177</v>
      </c>
      <c r="C213" s="44" t="s">
        <v>158</v>
      </c>
      <c r="D213" s="45" t="str">
        <f aca="true">OFFSET(plates!$B$24,CODE(LEFT(B213,1))-64,-1)&amp;"-"&amp;OFFSET(plates!$B$4,-1,MID(B213,2,3)+0)</f>
        <v>bc286-bc065</v>
      </c>
      <c r="E213" s="46" t="str">
        <f aca="true">OFFSET(plates!$B$24,CODE(LEFT(B213,1))-64,MID(B213,2,3)+0)&amp;""</f>
        <v/>
      </c>
      <c r="F213" s="46"/>
      <c r="G213" s="47"/>
      <c r="H213" s="47"/>
    </row>
    <row r="214" customFormat="false" ht="12.8" hidden="false" customHeight="false" outlineLevel="0" collapsed="false">
      <c r="A214" s="44" t="n">
        <v>3</v>
      </c>
      <c r="B214" s="44" t="s">
        <v>178</v>
      </c>
      <c r="C214" s="44" t="s">
        <v>158</v>
      </c>
      <c r="D214" s="45" t="str">
        <f aca="true">OFFSET(plates!$B$24,CODE(LEFT(B214,1))-64,-1)&amp;"-"&amp;OFFSET(plates!$B$4,-1,MID(B214,2,3)+0)</f>
        <v>bc298-bc065</v>
      </c>
      <c r="E214" s="46" t="str">
        <f aca="true">OFFSET(plates!$B$24,CODE(LEFT(B214,1))-64,MID(B214,2,3)+0)&amp;""</f>
        <v/>
      </c>
      <c r="F214" s="46"/>
      <c r="G214" s="47"/>
      <c r="H214" s="47"/>
    </row>
    <row r="215" customFormat="false" ht="12.8" hidden="false" customHeight="false" outlineLevel="0" collapsed="false">
      <c r="A215" s="44" t="n">
        <v>3</v>
      </c>
      <c r="B215" s="44" t="s">
        <v>179</v>
      </c>
      <c r="C215" s="44" t="s">
        <v>158</v>
      </c>
      <c r="D215" s="45" t="str">
        <f aca="true">OFFSET(plates!$B$24,CODE(LEFT(B215,1))-64,-1)&amp;"-"&amp;OFFSET(plates!$B$4,-1,MID(B215,2,3)+0)</f>
        <v>bc314-bc065</v>
      </c>
      <c r="E215" s="46" t="str">
        <f aca="true">OFFSET(plates!$B$24,CODE(LEFT(B215,1))-64,MID(B215,2,3)+0)&amp;""</f>
        <v/>
      </c>
      <c r="F215" s="46"/>
      <c r="G215" s="47"/>
      <c r="H215" s="47"/>
    </row>
    <row r="216" customFormat="false" ht="12.8" hidden="false" customHeight="false" outlineLevel="0" collapsed="false">
      <c r="A216" s="44" t="n">
        <v>3</v>
      </c>
      <c r="B216" s="44" t="s">
        <v>180</v>
      </c>
      <c r="C216" s="44" t="s">
        <v>158</v>
      </c>
      <c r="D216" s="45" t="str">
        <f aca="true">OFFSET(plates!$B$24,CODE(LEFT(B216,1))-64,-1)&amp;"-"&amp;OFFSET(plates!$B$4,-1,MID(B216,2,3)+0)</f>
        <v>bc321-bc065</v>
      </c>
      <c r="E216" s="46" t="str">
        <f aca="true">OFFSET(plates!$B$24,CODE(LEFT(B216,1))-64,MID(B216,2,3)+0)&amp;""</f>
        <v/>
      </c>
      <c r="F216" s="46"/>
      <c r="G216" s="47"/>
      <c r="H216" s="47"/>
    </row>
    <row r="217" customFormat="false" ht="12.8" hidden="false" customHeight="false" outlineLevel="0" collapsed="false">
      <c r="A217" s="44" t="n">
        <v>3</v>
      </c>
      <c r="B217" s="44" t="s">
        <v>181</v>
      </c>
      <c r="C217" s="44" t="s">
        <v>158</v>
      </c>
      <c r="D217" s="45" t="str">
        <f aca="true">OFFSET(plates!$B$24,CODE(LEFT(B217,1))-64,-1)&amp;"-"&amp;OFFSET(plates!$B$4,-1,MID(B217,2,3)+0)</f>
        <v>bc324-bc065</v>
      </c>
      <c r="E217" s="46" t="str">
        <f aca="true">OFFSET(plates!$B$24,CODE(LEFT(B217,1))-64,MID(B217,2,3)+0)&amp;""</f>
        <v/>
      </c>
      <c r="F217" s="46"/>
      <c r="G217" s="47"/>
      <c r="H217" s="47"/>
    </row>
    <row r="218" customFormat="false" ht="12.8" hidden="false" customHeight="false" outlineLevel="0" collapsed="false">
      <c r="A218" s="44" t="n">
        <v>3</v>
      </c>
      <c r="B218" s="44" t="s">
        <v>182</v>
      </c>
      <c r="C218" s="44" t="s">
        <v>158</v>
      </c>
      <c r="D218" s="45" t="str">
        <f aca="true">OFFSET(plates!$B$24,CODE(LEFT(B218,1))-64,-1)&amp;"-"&amp;OFFSET(plates!$B$4,-1,MID(B218,2,3)+0)</f>
        <v>bc272-bc082</v>
      </c>
      <c r="E218" s="46" t="str">
        <f aca="true">OFFSET(plates!$B$24,CODE(LEFT(B218,1))-64,MID(B218,2,3)+0)&amp;""</f>
        <v/>
      </c>
      <c r="F218" s="46"/>
      <c r="G218" s="47"/>
      <c r="H218" s="47"/>
    </row>
    <row r="219" customFormat="false" ht="12.8" hidden="false" customHeight="false" outlineLevel="0" collapsed="false">
      <c r="A219" s="44" t="n">
        <v>3</v>
      </c>
      <c r="B219" s="44" t="s">
        <v>183</v>
      </c>
      <c r="C219" s="44" t="s">
        <v>158</v>
      </c>
      <c r="D219" s="45" t="str">
        <f aca="true">OFFSET(plates!$B$24,CODE(LEFT(B219,1))-64,-1)&amp;"-"&amp;OFFSET(plates!$B$4,-1,MID(B219,2,3)+0)</f>
        <v>bc277-bc082</v>
      </c>
      <c r="E219" s="46" t="str">
        <f aca="true">OFFSET(plates!$B$24,CODE(LEFT(B219,1))-64,MID(B219,2,3)+0)&amp;""</f>
        <v/>
      </c>
      <c r="F219" s="46"/>
      <c r="G219" s="47"/>
      <c r="H219" s="47"/>
    </row>
    <row r="220" customFormat="false" ht="12.8" hidden="false" customHeight="false" outlineLevel="0" collapsed="false">
      <c r="A220" s="44" t="n">
        <v>3</v>
      </c>
      <c r="B220" s="44" t="s">
        <v>184</v>
      </c>
      <c r="C220" s="44" t="s">
        <v>158</v>
      </c>
      <c r="D220" s="45" t="str">
        <f aca="true">OFFSET(plates!$B$24,CODE(LEFT(B220,1))-64,-1)&amp;"-"&amp;OFFSET(plates!$B$4,-1,MID(B220,2,3)+0)</f>
        <v>bc282-bc082</v>
      </c>
      <c r="E220" s="46" t="str">
        <f aca="true">OFFSET(plates!$B$24,CODE(LEFT(B220,1))-64,MID(B220,2,3)+0)&amp;""</f>
        <v/>
      </c>
      <c r="F220" s="46"/>
      <c r="G220" s="47"/>
      <c r="H220" s="47"/>
    </row>
    <row r="221" customFormat="false" ht="12.8" hidden="false" customHeight="false" outlineLevel="0" collapsed="false">
      <c r="A221" s="44" t="n">
        <v>3</v>
      </c>
      <c r="B221" s="44" t="s">
        <v>185</v>
      </c>
      <c r="C221" s="44" t="s">
        <v>158</v>
      </c>
      <c r="D221" s="45" t="str">
        <f aca="true">OFFSET(plates!$B$24,CODE(LEFT(B221,1))-64,-1)&amp;"-"&amp;OFFSET(plates!$B$4,-1,MID(B221,2,3)+0)</f>
        <v>bc286-bc082</v>
      </c>
      <c r="E221" s="46" t="str">
        <f aca="true">OFFSET(plates!$B$24,CODE(LEFT(B221,1))-64,MID(B221,2,3)+0)&amp;""</f>
        <v/>
      </c>
      <c r="F221" s="46"/>
      <c r="G221" s="47"/>
      <c r="H221" s="47"/>
    </row>
    <row r="222" customFormat="false" ht="12.8" hidden="false" customHeight="false" outlineLevel="0" collapsed="false">
      <c r="A222" s="44" t="n">
        <v>3</v>
      </c>
      <c r="B222" s="44" t="s">
        <v>186</v>
      </c>
      <c r="C222" s="44" t="s">
        <v>158</v>
      </c>
      <c r="D222" s="45" t="str">
        <f aca="true">OFFSET(plates!$B$24,CODE(LEFT(B222,1))-64,-1)&amp;"-"&amp;OFFSET(plates!$B$4,-1,MID(B222,2,3)+0)</f>
        <v>bc298-bc082</v>
      </c>
      <c r="E222" s="46" t="str">
        <f aca="true">OFFSET(plates!$B$24,CODE(LEFT(B222,1))-64,MID(B222,2,3)+0)&amp;""</f>
        <v/>
      </c>
      <c r="F222" s="46"/>
      <c r="G222" s="47"/>
      <c r="H222" s="47"/>
    </row>
    <row r="223" customFormat="false" ht="12.8" hidden="false" customHeight="false" outlineLevel="0" collapsed="false">
      <c r="A223" s="44" t="n">
        <v>3</v>
      </c>
      <c r="B223" s="44" t="s">
        <v>187</v>
      </c>
      <c r="C223" s="44" t="s">
        <v>158</v>
      </c>
      <c r="D223" s="45" t="str">
        <f aca="true">OFFSET(plates!$B$24,CODE(LEFT(B223,1))-64,-1)&amp;"-"&amp;OFFSET(plates!$B$4,-1,MID(B223,2,3)+0)</f>
        <v>bc314-bc082</v>
      </c>
      <c r="E223" s="46" t="str">
        <f aca="true">OFFSET(plates!$B$24,CODE(LEFT(B223,1))-64,MID(B223,2,3)+0)&amp;""</f>
        <v/>
      </c>
      <c r="F223" s="46"/>
      <c r="G223" s="47"/>
      <c r="H223" s="47"/>
    </row>
    <row r="224" customFormat="false" ht="12.8" hidden="false" customHeight="false" outlineLevel="0" collapsed="false">
      <c r="A224" s="44" t="n">
        <v>3</v>
      </c>
      <c r="B224" s="44" t="s">
        <v>188</v>
      </c>
      <c r="C224" s="44" t="s">
        <v>158</v>
      </c>
      <c r="D224" s="45" t="str">
        <f aca="true">OFFSET(plates!$B$24,CODE(LEFT(B224,1))-64,-1)&amp;"-"&amp;OFFSET(plates!$B$4,-1,MID(B224,2,3)+0)</f>
        <v>bc321-bc082</v>
      </c>
      <c r="E224" s="46" t="str">
        <f aca="true">OFFSET(plates!$B$24,CODE(LEFT(B224,1))-64,MID(B224,2,3)+0)&amp;""</f>
        <v/>
      </c>
      <c r="F224" s="46"/>
      <c r="G224" s="47"/>
      <c r="H224" s="47"/>
    </row>
    <row r="225" customFormat="false" ht="12.8" hidden="false" customHeight="false" outlineLevel="0" collapsed="false">
      <c r="A225" s="44" t="n">
        <v>3</v>
      </c>
      <c r="B225" s="44" t="s">
        <v>189</v>
      </c>
      <c r="C225" s="44" t="s">
        <v>158</v>
      </c>
      <c r="D225" s="45" t="str">
        <f aca="true">OFFSET(plates!$B$24,CODE(LEFT(B225,1))-64,-1)&amp;"-"&amp;OFFSET(plates!$B$4,-1,MID(B225,2,3)+0)</f>
        <v>bc324-bc082</v>
      </c>
      <c r="E225" s="46" t="str">
        <f aca="true">OFFSET(plates!$B$24,CODE(LEFT(B225,1))-64,MID(B225,2,3)+0)&amp;""</f>
        <v/>
      </c>
      <c r="F225" s="46"/>
      <c r="G225" s="47"/>
      <c r="H225" s="47"/>
    </row>
    <row r="226" customFormat="false" ht="12.8" hidden="false" customHeight="false" outlineLevel="0" collapsed="false">
      <c r="A226" s="44" t="n">
        <v>3</v>
      </c>
      <c r="B226" s="44" t="s">
        <v>190</v>
      </c>
      <c r="C226" s="44" t="s">
        <v>158</v>
      </c>
      <c r="D226" s="45" t="str">
        <f aca="true">OFFSET(plates!$B$24,CODE(LEFT(B226,1))-64,-1)&amp;"-"&amp;OFFSET(plates!$B$4,-1,MID(B226,2,3)+0)</f>
        <v>bc272-bc120</v>
      </c>
      <c r="E226" s="46" t="str">
        <f aca="true">OFFSET(plates!$B$24,CODE(LEFT(B226,1))-64,MID(B226,2,3)+0)&amp;""</f>
        <v/>
      </c>
      <c r="F226" s="46"/>
      <c r="G226" s="47"/>
      <c r="H226" s="47"/>
    </row>
    <row r="227" customFormat="false" ht="12.8" hidden="false" customHeight="false" outlineLevel="0" collapsed="false">
      <c r="A227" s="44" t="n">
        <v>3</v>
      </c>
      <c r="B227" s="44" t="s">
        <v>191</v>
      </c>
      <c r="C227" s="44" t="s">
        <v>158</v>
      </c>
      <c r="D227" s="45" t="str">
        <f aca="true">OFFSET(plates!$B$24,CODE(LEFT(B227,1))-64,-1)&amp;"-"&amp;OFFSET(plates!$B$4,-1,MID(B227,2,3)+0)</f>
        <v>bc277-bc120</v>
      </c>
      <c r="E227" s="46" t="str">
        <f aca="true">OFFSET(plates!$B$24,CODE(LEFT(B227,1))-64,MID(B227,2,3)+0)&amp;""</f>
        <v/>
      </c>
      <c r="F227" s="46"/>
      <c r="G227" s="47"/>
      <c r="H227" s="47"/>
    </row>
    <row r="228" customFormat="false" ht="12.8" hidden="false" customHeight="false" outlineLevel="0" collapsed="false">
      <c r="A228" s="44" t="n">
        <v>3</v>
      </c>
      <c r="B228" s="44" t="s">
        <v>192</v>
      </c>
      <c r="C228" s="44" t="s">
        <v>158</v>
      </c>
      <c r="D228" s="45" t="str">
        <f aca="true">OFFSET(plates!$B$24,CODE(LEFT(B228,1))-64,-1)&amp;"-"&amp;OFFSET(plates!$B$4,-1,MID(B228,2,3)+0)</f>
        <v>bc282-bc120</v>
      </c>
      <c r="E228" s="46" t="str">
        <f aca="true">OFFSET(plates!$B$24,CODE(LEFT(B228,1))-64,MID(B228,2,3)+0)&amp;""</f>
        <v/>
      </c>
      <c r="F228" s="46"/>
      <c r="G228" s="47"/>
      <c r="H228" s="47"/>
    </row>
    <row r="229" customFormat="false" ht="12.8" hidden="false" customHeight="false" outlineLevel="0" collapsed="false">
      <c r="A229" s="44" t="n">
        <v>3</v>
      </c>
      <c r="B229" s="44" t="s">
        <v>193</v>
      </c>
      <c r="C229" s="44" t="s">
        <v>158</v>
      </c>
      <c r="D229" s="45" t="str">
        <f aca="true">OFFSET(plates!$B$24,CODE(LEFT(B229,1))-64,-1)&amp;"-"&amp;OFFSET(plates!$B$4,-1,MID(B229,2,3)+0)</f>
        <v>bc286-bc120</v>
      </c>
      <c r="E229" s="46" t="str">
        <f aca="true">OFFSET(plates!$B$24,CODE(LEFT(B229,1))-64,MID(B229,2,3)+0)&amp;""</f>
        <v/>
      </c>
      <c r="F229" s="46"/>
      <c r="G229" s="47"/>
      <c r="H229" s="47"/>
    </row>
    <row r="230" customFormat="false" ht="12.8" hidden="false" customHeight="false" outlineLevel="0" collapsed="false">
      <c r="A230" s="44" t="n">
        <v>3</v>
      </c>
      <c r="B230" s="44" t="s">
        <v>194</v>
      </c>
      <c r="C230" s="44" t="s">
        <v>158</v>
      </c>
      <c r="D230" s="45" t="str">
        <f aca="true">OFFSET(plates!$B$24,CODE(LEFT(B230,1))-64,-1)&amp;"-"&amp;OFFSET(plates!$B$4,-1,MID(B230,2,3)+0)</f>
        <v>bc298-bc120</v>
      </c>
      <c r="E230" s="46" t="str">
        <f aca="true">OFFSET(plates!$B$24,CODE(LEFT(B230,1))-64,MID(B230,2,3)+0)&amp;""</f>
        <v/>
      </c>
      <c r="F230" s="46"/>
      <c r="G230" s="47"/>
      <c r="H230" s="47"/>
    </row>
    <row r="231" customFormat="false" ht="12.8" hidden="false" customHeight="false" outlineLevel="0" collapsed="false">
      <c r="A231" s="44" t="n">
        <v>3</v>
      </c>
      <c r="B231" s="44" t="s">
        <v>195</v>
      </c>
      <c r="C231" s="44" t="s">
        <v>158</v>
      </c>
      <c r="D231" s="45" t="str">
        <f aca="true">OFFSET(plates!$B$24,CODE(LEFT(B231,1))-64,-1)&amp;"-"&amp;OFFSET(plates!$B$4,-1,MID(B231,2,3)+0)</f>
        <v>bc314-bc120</v>
      </c>
      <c r="E231" s="46" t="str">
        <f aca="true">OFFSET(plates!$B$24,CODE(LEFT(B231,1))-64,MID(B231,2,3)+0)&amp;""</f>
        <v/>
      </c>
      <c r="F231" s="46"/>
      <c r="G231" s="47"/>
      <c r="H231" s="47"/>
    </row>
    <row r="232" customFormat="false" ht="12.8" hidden="false" customHeight="false" outlineLevel="0" collapsed="false">
      <c r="A232" s="44" t="n">
        <v>3</v>
      </c>
      <c r="B232" s="44" t="s">
        <v>196</v>
      </c>
      <c r="C232" s="44" t="s">
        <v>158</v>
      </c>
      <c r="D232" s="45" t="str">
        <f aca="true">OFFSET(plates!$B$24,CODE(LEFT(B232,1))-64,-1)&amp;"-"&amp;OFFSET(plates!$B$4,-1,MID(B232,2,3)+0)</f>
        <v>bc321-bc120</v>
      </c>
      <c r="E232" s="46" t="str">
        <f aca="true">OFFSET(plates!$B$24,CODE(LEFT(B232,1))-64,MID(B232,2,3)+0)&amp;""</f>
        <v/>
      </c>
      <c r="F232" s="46"/>
      <c r="G232" s="47"/>
      <c r="H232" s="47"/>
    </row>
    <row r="233" customFormat="false" ht="12.8" hidden="false" customHeight="false" outlineLevel="0" collapsed="false">
      <c r="A233" s="44" t="n">
        <v>3</v>
      </c>
      <c r="B233" s="44" t="s">
        <v>197</v>
      </c>
      <c r="C233" s="44" t="s">
        <v>158</v>
      </c>
      <c r="D233" s="45" t="str">
        <f aca="true">OFFSET(plates!$B$24,CODE(LEFT(B233,1))-64,-1)&amp;"-"&amp;OFFSET(plates!$B$4,-1,MID(B233,2,3)+0)</f>
        <v>bc324-bc120</v>
      </c>
      <c r="E233" s="46" t="str">
        <f aca="true">OFFSET(plates!$B$24,CODE(LEFT(B233,1))-64,MID(B233,2,3)+0)&amp;""</f>
        <v/>
      </c>
      <c r="F233" s="46"/>
      <c r="G233" s="47"/>
      <c r="H233" s="47"/>
    </row>
    <row r="234" customFormat="false" ht="12.8" hidden="false" customHeight="false" outlineLevel="0" collapsed="false">
      <c r="A234" s="44" t="n">
        <v>3</v>
      </c>
      <c r="B234" s="44" t="s">
        <v>198</v>
      </c>
      <c r="C234" s="44" t="s">
        <v>158</v>
      </c>
      <c r="D234" s="45" t="str">
        <f aca="true">OFFSET(plates!$B$24,CODE(LEFT(B234,1))-64,-1)&amp;"-"&amp;OFFSET(plates!$B$4,-1,MID(B234,2,3)+0)</f>
        <v>bc272-bc139</v>
      </c>
      <c r="E234" s="46" t="str">
        <f aca="true">OFFSET(plates!$B$24,CODE(LEFT(B234,1))-64,MID(B234,2,3)+0)&amp;""</f>
        <v/>
      </c>
      <c r="F234" s="46"/>
      <c r="G234" s="47"/>
      <c r="H234" s="47"/>
    </row>
    <row r="235" customFormat="false" ht="12.8" hidden="false" customHeight="false" outlineLevel="0" collapsed="false">
      <c r="A235" s="44" t="n">
        <v>3</v>
      </c>
      <c r="B235" s="44" t="s">
        <v>199</v>
      </c>
      <c r="C235" s="44" t="s">
        <v>158</v>
      </c>
      <c r="D235" s="45" t="str">
        <f aca="true">OFFSET(plates!$B$24,CODE(LEFT(B235,1))-64,-1)&amp;"-"&amp;OFFSET(plates!$B$4,-1,MID(B235,2,3)+0)</f>
        <v>bc277-bc139</v>
      </c>
      <c r="E235" s="46" t="str">
        <f aca="true">OFFSET(plates!$B$24,CODE(LEFT(B235,1))-64,MID(B235,2,3)+0)&amp;""</f>
        <v/>
      </c>
      <c r="F235" s="46"/>
      <c r="G235" s="47"/>
      <c r="H235" s="47"/>
    </row>
    <row r="236" customFormat="false" ht="12.8" hidden="false" customHeight="false" outlineLevel="0" collapsed="false">
      <c r="A236" s="44" t="n">
        <v>3</v>
      </c>
      <c r="B236" s="44" t="s">
        <v>200</v>
      </c>
      <c r="C236" s="44" t="s">
        <v>158</v>
      </c>
      <c r="D236" s="45" t="str">
        <f aca="true">OFFSET(plates!$B$24,CODE(LEFT(B236,1))-64,-1)&amp;"-"&amp;OFFSET(plates!$B$4,-1,MID(B236,2,3)+0)</f>
        <v>bc282-bc139</v>
      </c>
      <c r="E236" s="46" t="str">
        <f aca="true">OFFSET(plates!$B$24,CODE(LEFT(B236,1))-64,MID(B236,2,3)+0)&amp;""</f>
        <v/>
      </c>
      <c r="F236" s="46"/>
      <c r="G236" s="47"/>
      <c r="H236" s="47"/>
    </row>
    <row r="237" customFormat="false" ht="12.8" hidden="false" customHeight="false" outlineLevel="0" collapsed="false">
      <c r="A237" s="44" t="n">
        <v>3</v>
      </c>
      <c r="B237" s="44" t="s">
        <v>201</v>
      </c>
      <c r="C237" s="44" t="s">
        <v>158</v>
      </c>
      <c r="D237" s="45" t="str">
        <f aca="true">OFFSET(plates!$B$24,CODE(LEFT(B237,1))-64,-1)&amp;"-"&amp;OFFSET(plates!$B$4,-1,MID(B237,2,3)+0)</f>
        <v>bc286-bc139</v>
      </c>
      <c r="E237" s="46" t="str">
        <f aca="true">OFFSET(plates!$B$24,CODE(LEFT(B237,1))-64,MID(B237,2,3)+0)&amp;""</f>
        <v/>
      </c>
      <c r="F237" s="46"/>
      <c r="G237" s="47"/>
      <c r="H237" s="47"/>
    </row>
    <row r="238" customFormat="false" ht="12.8" hidden="false" customHeight="false" outlineLevel="0" collapsed="false">
      <c r="A238" s="44" t="n">
        <v>3</v>
      </c>
      <c r="B238" s="44" t="s">
        <v>202</v>
      </c>
      <c r="C238" s="44" t="s">
        <v>158</v>
      </c>
      <c r="D238" s="45" t="str">
        <f aca="true">OFFSET(plates!$B$24,CODE(LEFT(B238,1))-64,-1)&amp;"-"&amp;OFFSET(plates!$B$4,-1,MID(B238,2,3)+0)</f>
        <v>bc298-bc139</v>
      </c>
      <c r="E238" s="46" t="str">
        <f aca="true">OFFSET(plates!$B$24,CODE(LEFT(B238,1))-64,MID(B238,2,3)+0)&amp;""</f>
        <v/>
      </c>
      <c r="F238" s="46"/>
      <c r="G238" s="47"/>
      <c r="H238" s="47"/>
    </row>
    <row r="239" customFormat="false" ht="12.8" hidden="false" customHeight="false" outlineLevel="0" collapsed="false">
      <c r="A239" s="44" t="n">
        <v>3</v>
      </c>
      <c r="B239" s="44" t="s">
        <v>203</v>
      </c>
      <c r="C239" s="44" t="s">
        <v>158</v>
      </c>
      <c r="D239" s="45" t="str">
        <f aca="true">OFFSET(plates!$B$24,CODE(LEFT(B239,1))-64,-1)&amp;"-"&amp;OFFSET(plates!$B$4,-1,MID(B239,2,3)+0)</f>
        <v>bc314-bc139</v>
      </c>
      <c r="E239" s="46" t="str">
        <f aca="true">OFFSET(plates!$B$24,CODE(LEFT(B239,1))-64,MID(B239,2,3)+0)&amp;""</f>
        <v/>
      </c>
      <c r="F239" s="46"/>
      <c r="G239" s="47"/>
      <c r="H239" s="47"/>
    </row>
    <row r="240" customFormat="false" ht="12.8" hidden="false" customHeight="false" outlineLevel="0" collapsed="false">
      <c r="A240" s="44" t="n">
        <v>3</v>
      </c>
      <c r="B240" s="44" t="s">
        <v>204</v>
      </c>
      <c r="C240" s="44" t="s">
        <v>158</v>
      </c>
      <c r="D240" s="45" t="str">
        <f aca="true">OFFSET(plates!$B$24,CODE(LEFT(B240,1))-64,-1)&amp;"-"&amp;OFFSET(plates!$B$4,-1,MID(B240,2,3)+0)</f>
        <v>bc321-bc139</v>
      </c>
      <c r="E240" s="46" t="str">
        <f aca="true">OFFSET(plates!$B$24,CODE(LEFT(B240,1))-64,MID(B240,2,3)+0)&amp;""</f>
        <v/>
      </c>
      <c r="F240" s="46"/>
      <c r="G240" s="47"/>
      <c r="H240" s="47"/>
    </row>
    <row r="241" customFormat="false" ht="12.8" hidden="false" customHeight="false" outlineLevel="0" collapsed="false">
      <c r="A241" s="44" t="n">
        <v>3</v>
      </c>
      <c r="B241" s="44" t="s">
        <v>205</v>
      </c>
      <c r="C241" s="44" t="s">
        <v>158</v>
      </c>
      <c r="D241" s="45" t="str">
        <f aca="true">OFFSET(plates!$B$24,CODE(LEFT(B241,1))-64,-1)&amp;"-"&amp;OFFSET(plates!$B$4,-1,MID(B241,2,3)+0)</f>
        <v>bc324-bc139</v>
      </c>
      <c r="E241" s="46" t="str">
        <f aca="true">OFFSET(plates!$B$24,CODE(LEFT(B241,1))-64,MID(B241,2,3)+0)&amp;""</f>
        <v/>
      </c>
      <c r="F241" s="46"/>
      <c r="G241" s="47"/>
      <c r="H241" s="47"/>
    </row>
    <row r="242" customFormat="false" ht="12.8" hidden="false" customHeight="false" outlineLevel="0" collapsed="false">
      <c r="A242" s="44" t="n">
        <v>3</v>
      </c>
      <c r="B242" s="44" t="s">
        <v>206</v>
      </c>
      <c r="C242" s="44" t="s">
        <v>158</v>
      </c>
      <c r="D242" s="45" t="str">
        <f aca="true">OFFSET(plates!$B$24,CODE(LEFT(B242,1))-64,-1)&amp;"-"&amp;OFFSET(plates!$B$4,-1,MID(B242,2,3)+0)</f>
        <v>bc272-bc145</v>
      </c>
      <c r="E242" s="46" t="str">
        <f aca="true">OFFSET(plates!$B$24,CODE(LEFT(B242,1))-64,MID(B242,2,3)+0)&amp;""</f>
        <v/>
      </c>
      <c r="F242" s="46"/>
      <c r="G242" s="47"/>
      <c r="H242" s="47"/>
    </row>
    <row r="243" customFormat="false" ht="12.8" hidden="false" customHeight="false" outlineLevel="0" collapsed="false">
      <c r="A243" s="44" t="n">
        <v>3</v>
      </c>
      <c r="B243" s="44" t="s">
        <v>207</v>
      </c>
      <c r="C243" s="44" t="s">
        <v>158</v>
      </c>
      <c r="D243" s="45" t="str">
        <f aca="true">OFFSET(plates!$B$24,CODE(LEFT(B243,1))-64,-1)&amp;"-"&amp;OFFSET(plates!$B$4,-1,MID(B243,2,3)+0)</f>
        <v>bc277-bc145</v>
      </c>
      <c r="E243" s="46" t="str">
        <f aca="true">OFFSET(plates!$B$24,CODE(LEFT(B243,1))-64,MID(B243,2,3)+0)&amp;""</f>
        <v/>
      </c>
      <c r="F243" s="46"/>
      <c r="G243" s="47"/>
      <c r="H243" s="47"/>
    </row>
    <row r="244" customFormat="false" ht="12.8" hidden="false" customHeight="false" outlineLevel="0" collapsed="false">
      <c r="A244" s="44" t="n">
        <v>3</v>
      </c>
      <c r="B244" s="44" t="s">
        <v>208</v>
      </c>
      <c r="C244" s="44" t="s">
        <v>158</v>
      </c>
      <c r="D244" s="45" t="str">
        <f aca="true">OFFSET(plates!$B$24,CODE(LEFT(B244,1))-64,-1)&amp;"-"&amp;OFFSET(plates!$B$4,-1,MID(B244,2,3)+0)</f>
        <v>bc282-bc145</v>
      </c>
      <c r="E244" s="46" t="str">
        <f aca="true">OFFSET(plates!$B$24,CODE(LEFT(B244,1))-64,MID(B244,2,3)+0)&amp;""</f>
        <v/>
      </c>
      <c r="F244" s="46"/>
      <c r="G244" s="47"/>
      <c r="H244" s="47"/>
    </row>
    <row r="245" customFormat="false" ht="12.8" hidden="false" customHeight="false" outlineLevel="0" collapsed="false">
      <c r="A245" s="44" t="n">
        <v>3</v>
      </c>
      <c r="B245" s="44" t="s">
        <v>209</v>
      </c>
      <c r="C245" s="44" t="s">
        <v>158</v>
      </c>
      <c r="D245" s="45" t="str">
        <f aca="true">OFFSET(plates!$B$24,CODE(LEFT(B245,1))-64,-1)&amp;"-"&amp;OFFSET(plates!$B$4,-1,MID(B245,2,3)+0)</f>
        <v>bc286-bc145</v>
      </c>
      <c r="E245" s="46" t="str">
        <f aca="true">OFFSET(plates!$B$24,CODE(LEFT(B245,1))-64,MID(B245,2,3)+0)&amp;""</f>
        <v/>
      </c>
      <c r="F245" s="46"/>
      <c r="G245" s="47"/>
      <c r="H245" s="47"/>
    </row>
    <row r="246" customFormat="false" ht="12.8" hidden="false" customHeight="false" outlineLevel="0" collapsed="false">
      <c r="A246" s="44" t="n">
        <v>3</v>
      </c>
      <c r="B246" s="44" t="s">
        <v>210</v>
      </c>
      <c r="C246" s="44" t="s">
        <v>158</v>
      </c>
      <c r="D246" s="45" t="str">
        <f aca="true">OFFSET(plates!$B$24,CODE(LEFT(B246,1))-64,-1)&amp;"-"&amp;OFFSET(plates!$B$4,-1,MID(B246,2,3)+0)</f>
        <v>bc298-bc145</v>
      </c>
      <c r="E246" s="46" t="str">
        <f aca="true">OFFSET(plates!$B$24,CODE(LEFT(B246,1))-64,MID(B246,2,3)+0)&amp;""</f>
        <v/>
      </c>
      <c r="F246" s="46"/>
      <c r="G246" s="47"/>
      <c r="H246" s="47"/>
    </row>
    <row r="247" customFormat="false" ht="12.8" hidden="false" customHeight="false" outlineLevel="0" collapsed="false">
      <c r="A247" s="44" t="n">
        <v>3</v>
      </c>
      <c r="B247" s="44" t="s">
        <v>211</v>
      </c>
      <c r="C247" s="44" t="s">
        <v>158</v>
      </c>
      <c r="D247" s="45" t="str">
        <f aca="true">OFFSET(plates!$B$24,CODE(LEFT(B247,1))-64,-1)&amp;"-"&amp;OFFSET(plates!$B$4,-1,MID(B247,2,3)+0)</f>
        <v>bc314-bc145</v>
      </c>
      <c r="E247" s="46" t="str">
        <f aca="true">OFFSET(plates!$B$24,CODE(LEFT(B247,1))-64,MID(B247,2,3)+0)&amp;""</f>
        <v/>
      </c>
      <c r="F247" s="46"/>
      <c r="G247" s="47"/>
      <c r="H247" s="47"/>
    </row>
    <row r="248" customFormat="false" ht="12.8" hidden="false" customHeight="false" outlineLevel="0" collapsed="false">
      <c r="A248" s="44" t="n">
        <v>3</v>
      </c>
      <c r="B248" s="44" t="s">
        <v>212</v>
      </c>
      <c r="C248" s="44" t="s">
        <v>158</v>
      </c>
      <c r="D248" s="45" t="str">
        <f aca="true">OFFSET(plates!$B$24,CODE(LEFT(B248,1))-64,-1)&amp;"-"&amp;OFFSET(plates!$B$4,-1,MID(B248,2,3)+0)</f>
        <v>bc321-bc145</v>
      </c>
      <c r="E248" s="46" t="str">
        <f aca="true">OFFSET(plates!$B$24,CODE(LEFT(B248,1))-64,MID(B248,2,3)+0)&amp;""</f>
        <v/>
      </c>
      <c r="F248" s="46"/>
      <c r="G248" s="47"/>
      <c r="H248" s="47"/>
    </row>
    <row r="249" customFormat="false" ht="12.8" hidden="false" customHeight="false" outlineLevel="0" collapsed="false">
      <c r="A249" s="44" t="n">
        <v>3</v>
      </c>
      <c r="B249" s="44" t="s">
        <v>213</v>
      </c>
      <c r="C249" s="44" t="s">
        <v>158</v>
      </c>
      <c r="D249" s="45" t="str">
        <f aca="true">OFFSET(plates!$B$24,CODE(LEFT(B249,1))-64,-1)&amp;"-"&amp;OFFSET(plates!$B$4,-1,MID(B249,2,3)+0)</f>
        <v>bc324-bc145</v>
      </c>
      <c r="E249" s="46" t="str">
        <f aca="true">OFFSET(plates!$B$24,CODE(LEFT(B249,1))-64,MID(B249,2,3)+0)&amp;""</f>
        <v/>
      </c>
      <c r="F249" s="46"/>
      <c r="G249" s="47"/>
      <c r="H249" s="47"/>
    </row>
    <row r="250" customFormat="false" ht="12.8" hidden="false" customHeight="false" outlineLevel="0" collapsed="false">
      <c r="A250" s="44" t="n">
        <v>3</v>
      </c>
      <c r="B250" s="44" t="s">
        <v>214</v>
      </c>
      <c r="C250" s="44" t="s">
        <v>158</v>
      </c>
      <c r="D250" s="45" t="str">
        <f aca="true">OFFSET(plates!$B$24,CODE(LEFT(B250,1))-64,-1)&amp;"-"&amp;OFFSET(plates!$B$4,-1,MID(B250,2,3)+0)</f>
        <v>bc272-bc150</v>
      </c>
      <c r="E250" s="46" t="str">
        <f aca="true">OFFSET(plates!$B$24,CODE(LEFT(B250,1))-64,MID(B250,2,3)+0)&amp;""</f>
        <v/>
      </c>
      <c r="F250" s="46"/>
      <c r="G250" s="47"/>
      <c r="H250" s="47"/>
    </row>
    <row r="251" customFormat="false" ht="12.8" hidden="false" customHeight="false" outlineLevel="0" collapsed="false">
      <c r="A251" s="44" t="n">
        <v>3</v>
      </c>
      <c r="B251" s="44" t="s">
        <v>215</v>
      </c>
      <c r="C251" s="44" t="s">
        <v>158</v>
      </c>
      <c r="D251" s="45" t="str">
        <f aca="true">OFFSET(plates!$B$24,CODE(LEFT(B251,1))-64,-1)&amp;"-"&amp;OFFSET(plates!$B$4,-1,MID(B251,2,3)+0)</f>
        <v>bc277-bc150</v>
      </c>
      <c r="E251" s="46" t="str">
        <f aca="true">OFFSET(plates!$B$24,CODE(LEFT(B251,1))-64,MID(B251,2,3)+0)&amp;""</f>
        <v/>
      </c>
      <c r="F251" s="46"/>
      <c r="G251" s="47"/>
      <c r="H251" s="47"/>
    </row>
    <row r="252" customFormat="false" ht="12.8" hidden="false" customHeight="false" outlineLevel="0" collapsed="false">
      <c r="A252" s="44" t="n">
        <v>3</v>
      </c>
      <c r="B252" s="44" t="s">
        <v>216</v>
      </c>
      <c r="C252" s="44" t="s">
        <v>158</v>
      </c>
      <c r="D252" s="45" t="str">
        <f aca="true">OFFSET(plates!$B$24,CODE(LEFT(B252,1))-64,-1)&amp;"-"&amp;OFFSET(plates!$B$4,-1,MID(B252,2,3)+0)</f>
        <v>bc282-bc150</v>
      </c>
      <c r="E252" s="46" t="str">
        <f aca="true">OFFSET(plates!$B$24,CODE(LEFT(B252,1))-64,MID(B252,2,3)+0)&amp;""</f>
        <v/>
      </c>
      <c r="F252" s="46"/>
      <c r="G252" s="47"/>
      <c r="H252" s="47"/>
    </row>
    <row r="253" customFormat="false" ht="12.8" hidden="false" customHeight="false" outlineLevel="0" collapsed="false">
      <c r="A253" s="44" t="n">
        <v>3</v>
      </c>
      <c r="B253" s="44" t="s">
        <v>217</v>
      </c>
      <c r="C253" s="44" t="s">
        <v>158</v>
      </c>
      <c r="D253" s="45" t="str">
        <f aca="true">OFFSET(plates!$B$24,CODE(LEFT(B253,1))-64,-1)&amp;"-"&amp;OFFSET(plates!$B$4,-1,MID(B253,2,3)+0)</f>
        <v>bc286-bc150</v>
      </c>
      <c r="E253" s="46" t="str">
        <f aca="true">OFFSET(plates!$B$24,CODE(LEFT(B253,1))-64,MID(B253,2,3)+0)&amp;""</f>
        <v/>
      </c>
      <c r="F253" s="46"/>
      <c r="G253" s="47"/>
      <c r="H253" s="47"/>
    </row>
    <row r="254" customFormat="false" ht="12.8" hidden="false" customHeight="false" outlineLevel="0" collapsed="false">
      <c r="A254" s="44" t="n">
        <v>3</v>
      </c>
      <c r="B254" s="44" t="s">
        <v>218</v>
      </c>
      <c r="C254" s="44" t="s">
        <v>158</v>
      </c>
      <c r="D254" s="45" t="str">
        <f aca="true">OFFSET(plates!$B$24,CODE(LEFT(B254,1))-64,-1)&amp;"-"&amp;OFFSET(plates!$B$4,-1,MID(B254,2,3)+0)</f>
        <v>bc298-bc150</v>
      </c>
      <c r="E254" s="46" t="str">
        <f aca="true">OFFSET(plates!$B$24,CODE(LEFT(B254,1))-64,MID(B254,2,3)+0)&amp;""</f>
        <v/>
      </c>
      <c r="F254" s="46"/>
      <c r="G254" s="47"/>
      <c r="H254" s="47"/>
    </row>
    <row r="255" customFormat="false" ht="12.8" hidden="false" customHeight="false" outlineLevel="0" collapsed="false">
      <c r="A255" s="44" t="n">
        <v>3</v>
      </c>
      <c r="B255" s="44" t="s">
        <v>219</v>
      </c>
      <c r="C255" s="44" t="s">
        <v>158</v>
      </c>
      <c r="D255" s="45" t="str">
        <f aca="true">OFFSET(plates!$B$24,CODE(LEFT(B255,1))-64,-1)&amp;"-"&amp;OFFSET(plates!$B$4,-1,MID(B255,2,3)+0)</f>
        <v>bc314-bc150</v>
      </c>
      <c r="E255" s="46" t="str">
        <f aca="true">OFFSET(plates!$B$24,CODE(LEFT(B255,1))-64,MID(B255,2,3)+0)&amp;""</f>
        <v/>
      </c>
      <c r="F255" s="46"/>
      <c r="G255" s="47"/>
      <c r="H255" s="47"/>
    </row>
    <row r="256" customFormat="false" ht="12.8" hidden="false" customHeight="false" outlineLevel="0" collapsed="false">
      <c r="A256" s="44" t="n">
        <v>3</v>
      </c>
      <c r="B256" s="44" t="s">
        <v>220</v>
      </c>
      <c r="C256" s="44" t="s">
        <v>158</v>
      </c>
      <c r="D256" s="45" t="str">
        <f aca="true">OFFSET(plates!$B$24,CODE(LEFT(B256,1))-64,-1)&amp;"-"&amp;OFFSET(plates!$B$4,-1,MID(B256,2,3)+0)</f>
        <v>bc321-bc150</v>
      </c>
      <c r="E256" s="46" t="str">
        <f aca="true">OFFSET(plates!$B$24,CODE(LEFT(B256,1))-64,MID(B256,2,3)+0)&amp;""</f>
        <v/>
      </c>
      <c r="F256" s="46"/>
      <c r="G256" s="47"/>
      <c r="H256" s="47"/>
    </row>
    <row r="257" customFormat="false" ht="12.8" hidden="false" customHeight="false" outlineLevel="0" collapsed="false">
      <c r="A257" s="44" t="n">
        <v>3</v>
      </c>
      <c r="B257" s="44" t="s">
        <v>221</v>
      </c>
      <c r="C257" s="44" t="s">
        <v>158</v>
      </c>
      <c r="D257" s="45" t="str">
        <f aca="true">OFFSET(plates!$B$24,CODE(LEFT(B257,1))-64,-1)&amp;"-"&amp;OFFSET(plates!$B$4,-1,MID(B257,2,3)+0)</f>
        <v>bc324-bc150</v>
      </c>
      <c r="E257" s="46" t="str">
        <f aca="true">OFFSET(plates!$B$24,CODE(LEFT(B257,1))-64,MID(B257,2,3)+0)&amp;""</f>
        <v/>
      </c>
      <c r="F257" s="46"/>
      <c r="G257" s="47"/>
      <c r="H257" s="47"/>
    </row>
    <row r="258" customFormat="false" ht="12.8" hidden="false" customHeight="false" outlineLevel="0" collapsed="false">
      <c r="A258" s="44" t="n">
        <v>3</v>
      </c>
      <c r="B258" s="44" t="s">
        <v>222</v>
      </c>
      <c r="C258" s="44" t="s">
        <v>158</v>
      </c>
      <c r="D258" s="45" t="str">
        <f aca="true">OFFSET(plates!$B$24,CODE(LEFT(B258,1))-64,-1)&amp;"-"&amp;OFFSET(plates!$B$4,-1,MID(B258,2,3)+0)</f>
        <v>bc272-bc183</v>
      </c>
      <c r="E258" s="46" t="str">
        <f aca="true">OFFSET(plates!$B$24,CODE(LEFT(B258,1))-64,MID(B258,2,3)+0)&amp;""</f>
        <v/>
      </c>
      <c r="F258" s="46"/>
      <c r="G258" s="47"/>
      <c r="H258" s="47"/>
    </row>
    <row r="259" customFormat="false" ht="12.8" hidden="false" customHeight="false" outlineLevel="0" collapsed="false">
      <c r="A259" s="44" t="n">
        <v>3</v>
      </c>
      <c r="B259" s="44" t="s">
        <v>223</v>
      </c>
      <c r="C259" s="44" t="s">
        <v>158</v>
      </c>
      <c r="D259" s="45" t="str">
        <f aca="true">OFFSET(plates!$B$24,CODE(LEFT(B259,1))-64,-1)&amp;"-"&amp;OFFSET(plates!$B$4,-1,MID(B259,2,3)+0)</f>
        <v>bc277-bc183</v>
      </c>
      <c r="E259" s="46" t="str">
        <f aca="true">OFFSET(plates!$B$24,CODE(LEFT(B259,1))-64,MID(B259,2,3)+0)&amp;""</f>
        <v/>
      </c>
      <c r="F259" s="46"/>
      <c r="G259" s="47"/>
      <c r="H259" s="47"/>
    </row>
    <row r="260" customFormat="false" ht="12.8" hidden="false" customHeight="false" outlineLevel="0" collapsed="false">
      <c r="A260" s="44" t="n">
        <v>3</v>
      </c>
      <c r="B260" s="44" t="s">
        <v>224</v>
      </c>
      <c r="C260" s="44" t="s">
        <v>158</v>
      </c>
      <c r="D260" s="45" t="str">
        <f aca="true">OFFSET(plates!$B$24,CODE(LEFT(B260,1))-64,-1)&amp;"-"&amp;OFFSET(plates!$B$4,-1,MID(B260,2,3)+0)</f>
        <v>bc282-bc183</v>
      </c>
      <c r="E260" s="46" t="str">
        <f aca="true">OFFSET(plates!$B$24,CODE(LEFT(B260,1))-64,MID(B260,2,3)+0)&amp;""</f>
        <v/>
      </c>
      <c r="F260" s="46"/>
      <c r="G260" s="47"/>
      <c r="H260" s="47"/>
    </row>
    <row r="261" customFormat="false" ht="12.8" hidden="false" customHeight="false" outlineLevel="0" collapsed="false">
      <c r="A261" s="44" t="n">
        <v>3</v>
      </c>
      <c r="B261" s="44" t="s">
        <v>225</v>
      </c>
      <c r="C261" s="44" t="s">
        <v>158</v>
      </c>
      <c r="D261" s="45" t="str">
        <f aca="true">OFFSET(plates!$B$24,CODE(LEFT(B261,1))-64,-1)&amp;"-"&amp;OFFSET(plates!$B$4,-1,MID(B261,2,3)+0)</f>
        <v>bc286-bc183</v>
      </c>
      <c r="E261" s="46" t="str">
        <f aca="true">OFFSET(plates!$B$24,CODE(LEFT(B261,1))-64,MID(B261,2,3)+0)&amp;""</f>
        <v/>
      </c>
      <c r="F261" s="46"/>
      <c r="G261" s="47"/>
      <c r="H261" s="47"/>
    </row>
    <row r="262" customFormat="false" ht="12.8" hidden="false" customHeight="false" outlineLevel="0" collapsed="false">
      <c r="A262" s="44" t="n">
        <v>3</v>
      </c>
      <c r="B262" s="44" t="s">
        <v>226</v>
      </c>
      <c r="C262" s="44" t="s">
        <v>158</v>
      </c>
      <c r="D262" s="45" t="str">
        <f aca="true">OFFSET(plates!$B$24,CODE(LEFT(B262,1))-64,-1)&amp;"-"&amp;OFFSET(plates!$B$4,-1,MID(B262,2,3)+0)</f>
        <v>bc298-bc183</v>
      </c>
      <c r="E262" s="46" t="str">
        <f aca="true">OFFSET(plates!$B$24,CODE(LEFT(B262,1))-64,MID(B262,2,3)+0)&amp;""</f>
        <v/>
      </c>
      <c r="F262" s="46"/>
      <c r="G262" s="47"/>
      <c r="H262" s="47"/>
    </row>
    <row r="263" customFormat="false" ht="12.8" hidden="false" customHeight="false" outlineLevel="0" collapsed="false">
      <c r="A263" s="44" t="n">
        <v>3</v>
      </c>
      <c r="B263" s="44" t="s">
        <v>227</v>
      </c>
      <c r="C263" s="44" t="s">
        <v>158</v>
      </c>
      <c r="D263" s="45" t="str">
        <f aca="true">OFFSET(plates!$B$24,CODE(LEFT(B263,1))-64,-1)&amp;"-"&amp;OFFSET(plates!$B$4,-1,MID(B263,2,3)+0)</f>
        <v>bc314-bc183</v>
      </c>
      <c r="E263" s="46" t="str">
        <f aca="true">OFFSET(plates!$B$24,CODE(LEFT(B263,1))-64,MID(B263,2,3)+0)&amp;""</f>
        <v/>
      </c>
      <c r="F263" s="46"/>
      <c r="G263" s="47"/>
      <c r="H263" s="47"/>
    </row>
    <row r="264" customFormat="false" ht="12.8" hidden="false" customHeight="false" outlineLevel="0" collapsed="false">
      <c r="A264" s="44" t="n">
        <v>3</v>
      </c>
      <c r="B264" s="44" t="s">
        <v>228</v>
      </c>
      <c r="C264" s="44" t="s">
        <v>158</v>
      </c>
      <c r="D264" s="45" t="str">
        <f aca="true">OFFSET(plates!$B$24,CODE(LEFT(B264,1))-64,-1)&amp;"-"&amp;OFFSET(plates!$B$4,-1,MID(B264,2,3)+0)</f>
        <v>bc321-bc183</v>
      </c>
      <c r="E264" s="46" t="str">
        <f aca="true">OFFSET(plates!$B$24,CODE(LEFT(B264,1))-64,MID(B264,2,3)+0)&amp;""</f>
        <v/>
      </c>
      <c r="F264" s="46"/>
      <c r="G264" s="47"/>
      <c r="H264" s="47"/>
    </row>
    <row r="265" customFormat="false" ht="12.8" hidden="false" customHeight="false" outlineLevel="0" collapsed="false">
      <c r="A265" s="44" t="n">
        <v>3</v>
      </c>
      <c r="B265" s="44" t="s">
        <v>229</v>
      </c>
      <c r="C265" s="44" t="s">
        <v>158</v>
      </c>
      <c r="D265" s="45" t="str">
        <f aca="true">OFFSET(plates!$B$24,CODE(LEFT(B265,1))-64,-1)&amp;"-"&amp;OFFSET(plates!$B$4,-1,MID(B265,2,3)+0)</f>
        <v>bc324-bc183</v>
      </c>
      <c r="E265" s="46" t="str">
        <f aca="true">OFFSET(plates!$B$24,CODE(LEFT(B265,1))-64,MID(B265,2,3)+0)&amp;""</f>
        <v/>
      </c>
      <c r="F265" s="46"/>
      <c r="G265" s="47"/>
      <c r="H265" s="47"/>
    </row>
    <row r="266" customFormat="false" ht="12.8" hidden="false" customHeight="false" outlineLevel="0" collapsed="false">
      <c r="A266" s="44" t="n">
        <v>3</v>
      </c>
      <c r="B266" s="44" t="s">
        <v>230</v>
      </c>
      <c r="C266" s="44" t="s">
        <v>158</v>
      </c>
      <c r="D266" s="45" t="str">
        <f aca="true">OFFSET(plates!$B$24,CODE(LEFT(B266,1))-64,-1)&amp;"-"&amp;OFFSET(plates!$B$4,-1,MID(B266,2,3)+0)</f>
        <v>bc272-bc218</v>
      </c>
      <c r="E266" s="46" t="str">
        <f aca="true">OFFSET(plates!$B$24,CODE(LEFT(B266,1))-64,MID(B266,2,3)+0)&amp;""</f>
        <v/>
      </c>
      <c r="F266" s="46"/>
      <c r="G266" s="47"/>
      <c r="H266" s="47"/>
    </row>
    <row r="267" customFormat="false" ht="12.8" hidden="false" customHeight="false" outlineLevel="0" collapsed="false">
      <c r="A267" s="44" t="n">
        <v>3</v>
      </c>
      <c r="B267" s="44" t="s">
        <v>231</v>
      </c>
      <c r="C267" s="44" t="s">
        <v>158</v>
      </c>
      <c r="D267" s="45" t="str">
        <f aca="true">OFFSET(plates!$B$24,CODE(LEFT(B267,1))-64,-1)&amp;"-"&amp;OFFSET(plates!$B$4,-1,MID(B267,2,3)+0)</f>
        <v>bc277-bc218</v>
      </c>
      <c r="E267" s="46" t="str">
        <f aca="true">OFFSET(plates!$B$24,CODE(LEFT(B267,1))-64,MID(B267,2,3)+0)&amp;""</f>
        <v/>
      </c>
      <c r="F267" s="46"/>
      <c r="G267" s="47"/>
      <c r="H267" s="47"/>
    </row>
    <row r="268" customFormat="false" ht="12.8" hidden="false" customHeight="false" outlineLevel="0" collapsed="false">
      <c r="A268" s="44" t="n">
        <v>3</v>
      </c>
      <c r="B268" s="44" t="s">
        <v>232</v>
      </c>
      <c r="C268" s="44" t="s">
        <v>158</v>
      </c>
      <c r="D268" s="45" t="str">
        <f aca="true">OFFSET(plates!$B$24,CODE(LEFT(B268,1))-64,-1)&amp;"-"&amp;OFFSET(plates!$B$4,-1,MID(B268,2,3)+0)</f>
        <v>bc282-bc218</v>
      </c>
      <c r="E268" s="46" t="str">
        <f aca="true">OFFSET(plates!$B$24,CODE(LEFT(B268,1))-64,MID(B268,2,3)+0)&amp;""</f>
        <v/>
      </c>
      <c r="F268" s="46"/>
      <c r="G268" s="47"/>
      <c r="H268" s="47"/>
    </row>
    <row r="269" s="48" customFormat="true" ht="12.8" hidden="false" customHeight="false" outlineLevel="0" collapsed="false">
      <c r="A269" s="44" t="n">
        <v>3</v>
      </c>
      <c r="B269" s="44" t="s">
        <v>233</v>
      </c>
      <c r="C269" s="44" t="s">
        <v>158</v>
      </c>
      <c r="D269" s="45" t="str">
        <f aca="true">OFFSET(plates!$B$24,CODE(LEFT(B269,1))-64,-1)&amp;"-"&amp;OFFSET(plates!$B$4,-1,MID(B269,2,3)+0)</f>
        <v>bc286-bc218</v>
      </c>
      <c r="E269" s="46" t="str">
        <f aca="true">OFFSET(plates!$B$24,CODE(LEFT(B269,1))-64,MID(B269,2,3)+0)&amp;""</f>
        <v/>
      </c>
      <c r="F269" s="46"/>
      <c r="G269" s="47"/>
      <c r="H269" s="47"/>
      <c r="I269" s="36"/>
      <c r="J269" s="36"/>
      <c r="K269" s="36"/>
      <c r="L269" s="36"/>
      <c r="M269" s="36"/>
    </row>
    <row r="270" customFormat="false" ht="12.8" hidden="false" customHeight="false" outlineLevel="0" collapsed="false">
      <c r="A270" s="44" t="n">
        <v>3</v>
      </c>
      <c r="B270" s="44" t="s">
        <v>234</v>
      </c>
      <c r="C270" s="44" t="s">
        <v>158</v>
      </c>
      <c r="D270" s="45" t="str">
        <f aca="true">OFFSET(plates!$B$24,CODE(LEFT(B270,1))-64,-1)&amp;"-"&amp;OFFSET(plates!$B$4,-1,MID(B270,2,3)+0)</f>
        <v>bc298-bc218</v>
      </c>
      <c r="E270" s="46" t="str">
        <f aca="true">OFFSET(plates!$B$24,CODE(LEFT(B270,1))-64,MID(B270,2,3)+0)&amp;""</f>
        <v/>
      </c>
      <c r="F270" s="46"/>
      <c r="G270" s="47"/>
      <c r="H270" s="47"/>
    </row>
    <row r="271" customFormat="false" ht="12.8" hidden="false" customHeight="false" outlineLevel="0" collapsed="false">
      <c r="A271" s="44" t="n">
        <v>3</v>
      </c>
      <c r="B271" s="44" t="s">
        <v>235</v>
      </c>
      <c r="C271" s="44" t="s">
        <v>158</v>
      </c>
      <c r="D271" s="45" t="str">
        <f aca="true">OFFSET(plates!$B$24,CODE(LEFT(B271,1))-64,-1)&amp;"-"&amp;OFFSET(plates!$B$4,-1,MID(B271,2,3)+0)</f>
        <v>bc314-bc218</v>
      </c>
      <c r="E271" s="46" t="str">
        <f aca="true">OFFSET(plates!$B$24,CODE(LEFT(B271,1))-64,MID(B271,2,3)+0)&amp;""</f>
        <v/>
      </c>
      <c r="F271" s="46"/>
      <c r="G271" s="47"/>
      <c r="H271" s="47"/>
    </row>
    <row r="272" customFormat="false" ht="12.8" hidden="false" customHeight="false" outlineLevel="0" collapsed="false">
      <c r="A272" s="44" t="n">
        <v>3</v>
      </c>
      <c r="B272" s="44" t="s">
        <v>236</v>
      </c>
      <c r="C272" s="44" t="s">
        <v>158</v>
      </c>
      <c r="D272" s="45" t="str">
        <f aca="true">OFFSET(plates!$B$24,CODE(LEFT(B272,1))-64,-1)&amp;"-"&amp;OFFSET(plates!$B$4,-1,MID(B272,2,3)+0)</f>
        <v>bc321-bc218</v>
      </c>
      <c r="E272" s="46" t="str">
        <f aca="true">OFFSET(plates!$B$24,CODE(LEFT(B272,1))-64,MID(B272,2,3)+0)&amp;""</f>
        <v/>
      </c>
      <c r="F272" s="46"/>
      <c r="G272" s="47"/>
      <c r="H272" s="47"/>
    </row>
    <row r="273" customFormat="false" ht="12.8" hidden="false" customHeight="false" outlineLevel="0" collapsed="false">
      <c r="A273" s="44" t="n">
        <v>3</v>
      </c>
      <c r="B273" s="44" t="s">
        <v>237</v>
      </c>
      <c r="C273" s="44" t="s">
        <v>158</v>
      </c>
      <c r="D273" s="45" t="str">
        <f aca="true">OFFSET(plates!$B$24,CODE(LEFT(B273,1))-64,-1)&amp;"-"&amp;OFFSET(plates!$B$4,-1,MID(B273,2,3)+0)</f>
        <v>bc324-bc218</v>
      </c>
      <c r="E273" s="46" t="str">
        <f aca="true">OFFSET(plates!$B$24,CODE(LEFT(B273,1))-64,MID(B273,2,3)+0)&amp;""</f>
        <v/>
      </c>
      <c r="F273" s="46"/>
      <c r="G273" s="47"/>
      <c r="H273" s="47"/>
    </row>
    <row r="274" customFormat="false" ht="12.8" hidden="false" customHeight="false" outlineLevel="0" collapsed="false">
      <c r="A274" s="44" t="n">
        <v>3</v>
      </c>
      <c r="B274" s="44" t="s">
        <v>238</v>
      </c>
      <c r="C274" s="44" t="s">
        <v>158</v>
      </c>
      <c r="D274" s="45" t="str">
        <f aca="true">OFFSET(plates!$B$24,CODE(LEFT(B274,1))-64,-1)&amp;"-"&amp;OFFSET(plates!$B$4,-1,MID(B274,2,3)+0)</f>
        <v>bc272-bc219</v>
      </c>
      <c r="E274" s="46" t="str">
        <f aca="true">OFFSET(plates!$B$24,CODE(LEFT(B274,1))-64,MID(B274,2,3)+0)&amp;""</f>
        <v/>
      </c>
      <c r="F274" s="46"/>
      <c r="G274" s="47"/>
      <c r="H274" s="47"/>
    </row>
    <row r="275" customFormat="false" ht="12.8" hidden="false" customHeight="false" outlineLevel="0" collapsed="false">
      <c r="A275" s="44" t="n">
        <v>3</v>
      </c>
      <c r="B275" s="44" t="s">
        <v>239</v>
      </c>
      <c r="C275" s="44" t="s">
        <v>158</v>
      </c>
      <c r="D275" s="45" t="str">
        <f aca="true">OFFSET(plates!$B$24,CODE(LEFT(B275,1))-64,-1)&amp;"-"&amp;OFFSET(plates!$B$4,-1,MID(B275,2,3)+0)</f>
        <v>bc277-bc219</v>
      </c>
      <c r="E275" s="46" t="str">
        <f aca="true">OFFSET(plates!$B$24,CODE(LEFT(B275,1))-64,MID(B275,2,3)+0)&amp;""</f>
        <v/>
      </c>
      <c r="F275" s="46"/>
      <c r="G275" s="47"/>
      <c r="H275" s="47"/>
    </row>
    <row r="276" customFormat="false" ht="12.8" hidden="false" customHeight="false" outlineLevel="0" collapsed="false">
      <c r="A276" s="44" t="n">
        <v>3</v>
      </c>
      <c r="B276" s="44" t="s">
        <v>240</v>
      </c>
      <c r="C276" s="44" t="s">
        <v>158</v>
      </c>
      <c r="D276" s="45" t="str">
        <f aca="true">OFFSET(plates!$B$24,CODE(LEFT(B276,1))-64,-1)&amp;"-"&amp;OFFSET(plates!$B$4,-1,MID(B276,2,3)+0)</f>
        <v>bc282-bc219</v>
      </c>
      <c r="E276" s="46" t="str">
        <f aca="true">OFFSET(plates!$B$24,CODE(LEFT(B276,1))-64,MID(B276,2,3)+0)&amp;""</f>
        <v/>
      </c>
      <c r="F276" s="46"/>
      <c r="G276" s="47"/>
      <c r="H276" s="47"/>
    </row>
    <row r="277" customFormat="false" ht="12.8" hidden="false" customHeight="false" outlineLevel="0" collapsed="false">
      <c r="A277" s="44" t="n">
        <v>3</v>
      </c>
      <c r="B277" s="44" t="s">
        <v>241</v>
      </c>
      <c r="C277" s="44" t="s">
        <v>158</v>
      </c>
      <c r="D277" s="45" t="str">
        <f aca="true">OFFSET(plates!$B$24,CODE(LEFT(B277,1))-64,-1)&amp;"-"&amp;OFFSET(plates!$B$4,-1,MID(B277,2,3)+0)</f>
        <v>bc286-bc219</v>
      </c>
      <c r="E277" s="46" t="str">
        <f aca="true">OFFSET(plates!$B$24,CODE(LEFT(B277,1))-64,MID(B277,2,3)+0)&amp;""</f>
        <v/>
      </c>
      <c r="F277" s="46"/>
      <c r="G277" s="47"/>
      <c r="H277" s="47"/>
    </row>
    <row r="278" customFormat="false" ht="12.8" hidden="false" customHeight="false" outlineLevel="0" collapsed="false">
      <c r="A278" s="44" t="n">
        <v>3</v>
      </c>
      <c r="B278" s="44" t="s">
        <v>242</v>
      </c>
      <c r="C278" s="44" t="s">
        <v>158</v>
      </c>
      <c r="D278" s="45" t="str">
        <f aca="true">OFFSET(plates!$B$24,CODE(LEFT(B278,1))-64,-1)&amp;"-"&amp;OFFSET(plates!$B$4,-1,MID(B278,2,3)+0)</f>
        <v>bc298-bc219</v>
      </c>
      <c r="E278" s="46" t="str">
        <f aca="true">OFFSET(plates!$B$24,CODE(LEFT(B278,1))-64,MID(B278,2,3)+0)&amp;""</f>
        <v/>
      </c>
      <c r="F278" s="46"/>
      <c r="G278" s="47"/>
      <c r="H278" s="47"/>
    </row>
    <row r="279" customFormat="false" ht="12.8" hidden="false" customHeight="false" outlineLevel="0" collapsed="false">
      <c r="A279" s="44" t="n">
        <v>3</v>
      </c>
      <c r="B279" s="44" t="s">
        <v>243</v>
      </c>
      <c r="C279" s="44" t="s">
        <v>158</v>
      </c>
      <c r="D279" s="45" t="str">
        <f aca="true">OFFSET(plates!$B$24,CODE(LEFT(B279,1))-64,-1)&amp;"-"&amp;OFFSET(plates!$B$4,-1,MID(B279,2,3)+0)</f>
        <v>bc314-bc219</v>
      </c>
      <c r="E279" s="46" t="str">
        <f aca="true">OFFSET(plates!$B$24,CODE(LEFT(B279,1))-64,MID(B279,2,3)+0)&amp;""</f>
        <v/>
      </c>
      <c r="F279" s="46"/>
      <c r="G279" s="47"/>
      <c r="H279" s="47"/>
    </row>
    <row r="280" customFormat="false" ht="12.8" hidden="false" customHeight="false" outlineLevel="0" collapsed="false">
      <c r="A280" s="44" t="n">
        <v>3</v>
      </c>
      <c r="B280" s="44" t="s">
        <v>244</v>
      </c>
      <c r="C280" s="44" t="s">
        <v>158</v>
      </c>
      <c r="D280" s="45" t="str">
        <f aca="true">OFFSET(plates!$B$24,CODE(LEFT(B280,1))-64,-1)&amp;"-"&amp;OFFSET(plates!$B$4,-1,MID(B280,2,3)+0)</f>
        <v>bc321-bc219</v>
      </c>
      <c r="E280" s="46" t="str">
        <f aca="true">OFFSET(plates!$B$24,CODE(LEFT(B280,1))-64,MID(B280,2,3)+0)&amp;""</f>
        <v/>
      </c>
      <c r="F280" s="46"/>
      <c r="G280" s="47"/>
      <c r="H280" s="47"/>
    </row>
    <row r="281" customFormat="false" ht="12.8" hidden="false" customHeight="false" outlineLevel="0" collapsed="false">
      <c r="A281" s="44" t="n">
        <v>3</v>
      </c>
      <c r="B281" s="44" t="s">
        <v>245</v>
      </c>
      <c r="C281" s="44" t="s">
        <v>158</v>
      </c>
      <c r="D281" s="45" t="str">
        <f aca="true">OFFSET(plates!$B$24,CODE(LEFT(B281,1))-64,-1)&amp;"-"&amp;OFFSET(plates!$B$4,-1,MID(B281,2,3)+0)</f>
        <v>bc324-bc219</v>
      </c>
      <c r="E281" s="46" t="str">
        <f aca="true">OFFSET(plates!$B$24,CODE(LEFT(B281,1))-64,MID(B281,2,3)+0)&amp;""</f>
        <v/>
      </c>
      <c r="F281" s="46"/>
      <c r="G281" s="47"/>
      <c r="H281" s="47"/>
    </row>
    <row r="282" customFormat="false" ht="12.8" hidden="false" customHeight="false" outlineLevel="0" collapsed="false">
      <c r="A282" s="44" t="n">
        <v>3</v>
      </c>
      <c r="B282" s="44" t="s">
        <v>246</v>
      </c>
      <c r="C282" s="44" t="s">
        <v>158</v>
      </c>
      <c r="D282" s="45" t="str">
        <f aca="true">OFFSET(plates!$B$24,CODE(LEFT(B282,1))-64,-1)&amp;"-"&amp;OFFSET(plates!$B$4,-1,MID(B282,2,3)+0)</f>
        <v>bc272-bc245</v>
      </c>
      <c r="E282" s="46" t="str">
        <f aca="true">OFFSET(plates!$B$24,CODE(LEFT(B282,1))-64,MID(B282,2,3)+0)&amp;""</f>
        <v/>
      </c>
      <c r="F282" s="46"/>
      <c r="G282" s="47"/>
      <c r="H282" s="47"/>
    </row>
    <row r="283" customFormat="false" ht="12.8" hidden="false" customHeight="false" outlineLevel="0" collapsed="false">
      <c r="A283" s="44" t="n">
        <v>3</v>
      </c>
      <c r="B283" s="44" t="s">
        <v>247</v>
      </c>
      <c r="C283" s="44" t="s">
        <v>158</v>
      </c>
      <c r="D283" s="45" t="str">
        <f aca="true">OFFSET(plates!$B$24,CODE(LEFT(B283,1))-64,-1)&amp;"-"&amp;OFFSET(plates!$B$4,-1,MID(B283,2,3)+0)</f>
        <v>bc277-bc245</v>
      </c>
      <c r="E283" s="46" t="str">
        <f aca="true">OFFSET(plates!$B$24,CODE(LEFT(B283,1))-64,MID(B283,2,3)+0)&amp;""</f>
        <v/>
      </c>
      <c r="F283" s="46"/>
      <c r="G283" s="47"/>
      <c r="H283" s="47"/>
    </row>
    <row r="284" customFormat="false" ht="12.8" hidden="false" customHeight="false" outlineLevel="0" collapsed="false">
      <c r="A284" s="44" t="n">
        <v>3</v>
      </c>
      <c r="B284" s="44" t="s">
        <v>248</v>
      </c>
      <c r="C284" s="44" t="s">
        <v>158</v>
      </c>
      <c r="D284" s="45" t="str">
        <f aca="true">OFFSET(plates!$B$24,CODE(LEFT(B284,1))-64,-1)&amp;"-"&amp;OFFSET(plates!$B$4,-1,MID(B284,2,3)+0)</f>
        <v>bc282-bc245</v>
      </c>
      <c r="E284" s="46" t="str">
        <f aca="true">OFFSET(plates!$B$24,CODE(LEFT(B284,1))-64,MID(B284,2,3)+0)&amp;""</f>
        <v/>
      </c>
      <c r="F284" s="46"/>
      <c r="G284" s="47"/>
      <c r="H284" s="47"/>
    </row>
    <row r="285" customFormat="false" ht="12.8" hidden="false" customHeight="false" outlineLevel="0" collapsed="false">
      <c r="A285" s="44" t="n">
        <v>3</v>
      </c>
      <c r="B285" s="44" t="s">
        <v>249</v>
      </c>
      <c r="C285" s="44" t="s">
        <v>158</v>
      </c>
      <c r="D285" s="45" t="str">
        <f aca="true">OFFSET(plates!$B$24,CODE(LEFT(B285,1))-64,-1)&amp;"-"&amp;OFFSET(plates!$B$4,-1,MID(B285,2,3)+0)</f>
        <v>bc286-bc245</v>
      </c>
      <c r="E285" s="46" t="str">
        <f aca="true">OFFSET(plates!$B$24,CODE(LEFT(B285,1))-64,MID(B285,2,3)+0)&amp;""</f>
        <v/>
      </c>
      <c r="F285" s="46"/>
      <c r="G285" s="47"/>
      <c r="H285" s="47"/>
    </row>
    <row r="286" customFormat="false" ht="12.8" hidden="false" customHeight="false" outlineLevel="0" collapsed="false">
      <c r="A286" s="44" t="n">
        <v>3</v>
      </c>
      <c r="B286" s="44" t="s">
        <v>250</v>
      </c>
      <c r="C286" s="44" t="s">
        <v>158</v>
      </c>
      <c r="D286" s="45" t="str">
        <f aca="true">OFFSET(plates!$B$24,CODE(LEFT(B286,1))-64,-1)&amp;"-"&amp;OFFSET(plates!$B$4,-1,MID(B286,2,3)+0)</f>
        <v>bc298-bc245</v>
      </c>
      <c r="E286" s="46" t="str">
        <f aca="true">OFFSET(plates!$B$24,CODE(LEFT(B286,1))-64,MID(B286,2,3)+0)&amp;""</f>
        <v/>
      </c>
      <c r="F286" s="46"/>
      <c r="G286" s="47"/>
      <c r="H286" s="47"/>
    </row>
    <row r="287" customFormat="false" ht="12.8" hidden="false" customHeight="false" outlineLevel="0" collapsed="false">
      <c r="A287" s="44" t="n">
        <v>3</v>
      </c>
      <c r="B287" s="44" t="s">
        <v>251</v>
      </c>
      <c r="C287" s="44" t="s">
        <v>158</v>
      </c>
      <c r="D287" s="45" t="str">
        <f aca="true">OFFSET(plates!$B$24,CODE(LEFT(B287,1))-64,-1)&amp;"-"&amp;OFFSET(plates!$B$4,-1,MID(B287,2,3)+0)</f>
        <v>bc314-bc245</v>
      </c>
      <c r="E287" s="46" t="str">
        <f aca="true">OFFSET(plates!$B$24,CODE(LEFT(B287,1))-64,MID(B287,2,3)+0)&amp;""</f>
        <v/>
      </c>
      <c r="F287" s="46"/>
      <c r="G287" s="47"/>
      <c r="H287" s="47"/>
      <c r="I287" s="36"/>
      <c r="J287" s="36"/>
      <c r="K287" s="36"/>
      <c r="L287" s="36"/>
      <c r="M287" s="36"/>
    </row>
    <row r="288" customFormat="false" ht="12.8" hidden="false" customHeight="false" outlineLevel="0" collapsed="false">
      <c r="A288" s="44" t="n">
        <v>3</v>
      </c>
      <c r="B288" s="44" t="s">
        <v>252</v>
      </c>
      <c r="C288" s="44" t="s">
        <v>158</v>
      </c>
      <c r="D288" s="45" t="str">
        <f aca="true">OFFSET(plates!$B$24,CODE(LEFT(B288,1))-64,-1)&amp;"-"&amp;OFFSET(plates!$B$4,-1,MID(B288,2,3)+0)</f>
        <v>bc321-bc245</v>
      </c>
      <c r="E288" s="46" t="str">
        <f aca="true">OFFSET(plates!$B$24,CODE(LEFT(B288,1))-64,MID(B288,2,3)+0)&amp;""</f>
        <v/>
      </c>
      <c r="F288" s="46"/>
      <c r="G288" s="47"/>
      <c r="H288" s="47"/>
    </row>
    <row r="289" customFormat="false" ht="12.8" hidden="false" customHeight="false" outlineLevel="0" collapsed="false">
      <c r="A289" s="44" t="n">
        <v>3</v>
      </c>
      <c r="B289" s="44" t="s">
        <v>253</v>
      </c>
      <c r="C289" s="44" t="s">
        <v>158</v>
      </c>
      <c r="D289" s="45" t="str">
        <f aca="true">OFFSET(plates!$B$24,CODE(LEFT(B289,1))-64,-1)&amp;"-"&amp;OFFSET(plates!$B$4,-1,MID(B289,2,3)+0)</f>
        <v>bc324-bc245</v>
      </c>
      <c r="E289" s="46" t="str">
        <f aca="true">OFFSET(plates!$B$24,CODE(LEFT(B289,1))-64,MID(B289,2,3)+0)&amp;""</f>
        <v/>
      </c>
      <c r="F289" s="46"/>
      <c r="G289" s="47"/>
      <c r="H289" s="47"/>
      <c r="I289" s="36"/>
      <c r="J289" s="36"/>
      <c r="K289" s="36"/>
    </row>
    <row r="290" customFormat="false" ht="12.8" hidden="false" customHeight="false" outlineLevel="0" collapsed="false">
      <c r="A290" s="44" t="n">
        <v>4</v>
      </c>
      <c r="B290" s="44" t="s">
        <v>157</v>
      </c>
      <c r="C290" s="44" t="s">
        <v>158</v>
      </c>
      <c r="D290" s="45" t="str">
        <f aca="true">OFFSET(plates!$B$34,CODE(LEFT(B290,1))-64,-1)&amp;"-"&amp;OFFSET(plates!$B$4,-1,MID(B290,2,3)+0)</f>
        <v>bc327-bc019</v>
      </c>
      <c r="E290" s="46" t="str">
        <f aca="true">OFFSET(plates!$B$34,CODE(LEFT(B290,1))-64,MID(B290,2,3)+0)&amp;""</f>
        <v/>
      </c>
      <c r="F290" s="46"/>
      <c r="G290" s="47"/>
      <c r="H290" s="47"/>
    </row>
    <row r="291" customFormat="false" ht="12.8" hidden="false" customHeight="false" outlineLevel="0" collapsed="false">
      <c r="A291" s="44" t="n">
        <v>4</v>
      </c>
      <c r="B291" s="44" t="s">
        <v>159</v>
      </c>
      <c r="C291" s="44" t="s">
        <v>158</v>
      </c>
      <c r="D291" s="45" t="str">
        <f aca="true">OFFSET(plates!$B$34,CODE(LEFT(B291,1))-64,-1)&amp;"-"&amp;OFFSET(plates!$B$4,-1,MID(B291,2,3)+0)</f>
        <v>bc357-bc019</v>
      </c>
      <c r="E291" s="46" t="str">
        <f aca="true">OFFSET(plates!$B$34,CODE(LEFT(B291,1))-64,MID(B291,2,3)+0)&amp;""</f>
        <v/>
      </c>
      <c r="F291" s="46"/>
      <c r="G291" s="47"/>
      <c r="H291" s="47"/>
    </row>
    <row r="292" customFormat="false" ht="12.8" hidden="false" customHeight="false" outlineLevel="0" collapsed="false">
      <c r="A292" s="44" t="n">
        <v>4</v>
      </c>
      <c r="B292" s="44" t="s">
        <v>160</v>
      </c>
      <c r="C292" s="44" t="s">
        <v>158</v>
      </c>
      <c r="D292" s="45" t="str">
        <f aca="true">OFFSET(plates!$B$34,CODE(LEFT(B292,1))-64,-1)&amp;"-"&amp;OFFSET(plates!$B$4,-1,MID(B292,2,3)+0)</f>
        <v>bc361-bc019</v>
      </c>
      <c r="E292" s="46" t="str">
        <f aca="true">OFFSET(plates!$B$34,CODE(LEFT(B292,1))-64,MID(B292,2,3)+0)&amp;""</f>
        <v/>
      </c>
      <c r="F292" s="46"/>
      <c r="G292" s="47"/>
      <c r="H292" s="47"/>
    </row>
    <row r="293" customFormat="false" ht="12.8" hidden="false" customHeight="false" outlineLevel="0" collapsed="false">
      <c r="A293" s="44" t="n">
        <v>4</v>
      </c>
      <c r="B293" s="44" t="s">
        <v>161</v>
      </c>
      <c r="C293" s="44" t="s">
        <v>158</v>
      </c>
      <c r="D293" s="45" t="str">
        <f aca="true">OFFSET(plates!$B$34,CODE(LEFT(B293,1))-64,-1)&amp;"-"&amp;OFFSET(plates!$B$4,-1,MID(B293,2,3)+0)</f>
        <v>bc362-bc019</v>
      </c>
      <c r="E293" s="46" t="str">
        <f aca="true">OFFSET(plates!$B$34,CODE(LEFT(B293,1))-64,MID(B293,2,3)+0)&amp;""</f>
        <v/>
      </c>
      <c r="F293" s="46"/>
      <c r="G293" s="47"/>
      <c r="H293" s="47"/>
    </row>
    <row r="294" customFormat="false" ht="12.8" hidden="false" customHeight="false" outlineLevel="0" collapsed="false">
      <c r="A294" s="44" t="n">
        <v>4</v>
      </c>
      <c r="B294" s="44" t="s">
        <v>162</v>
      </c>
      <c r="C294" s="44" t="s">
        <v>158</v>
      </c>
      <c r="D294" s="45" t="str">
        <f aca="true">OFFSET(plates!$B$34,CODE(LEFT(B294,1))-64,-1)&amp;"-"&amp;OFFSET(plates!$B$4,-1,MID(B294,2,3)+0)</f>
        <v>bc368-bc019</v>
      </c>
      <c r="E294" s="46" t="str">
        <f aca="true">OFFSET(plates!$B$34,CODE(LEFT(B294,1))-64,MID(B294,2,3)+0)&amp;""</f>
        <v/>
      </c>
      <c r="F294" s="46"/>
      <c r="G294" s="47"/>
      <c r="H294" s="47"/>
    </row>
    <row r="295" customFormat="false" ht="12.8" hidden="false" customHeight="false" outlineLevel="0" collapsed="false">
      <c r="A295" s="44" t="n">
        <v>4</v>
      </c>
      <c r="B295" s="44" t="s">
        <v>163</v>
      </c>
      <c r="C295" s="44" t="s">
        <v>158</v>
      </c>
      <c r="D295" s="45" t="str">
        <f aca="true">OFFSET(plates!$B$34,CODE(LEFT(B295,1))-64,-1)&amp;"-"&amp;OFFSET(plates!$B$4,-1,MID(B295,2,3)+0)</f>
        <v>bc370-bc019</v>
      </c>
      <c r="E295" s="46" t="str">
        <f aca="true">OFFSET(plates!$B$34,CODE(LEFT(B295,1))-64,MID(B295,2,3)+0)&amp;""</f>
        <v/>
      </c>
      <c r="F295" s="46"/>
      <c r="G295" s="47"/>
      <c r="H295" s="47"/>
    </row>
    <row r="296" customFormat="false" ht="12.8" hidden="false" customHeight="false" outlineLevel="0" collapsed="false">
      <c r="A296" s="44" t="n">
        <v>4</v>
      </c>
      <c r="B296" s="44" t="s">
        <v>164</v>
      </c>
      <c r="C296" s="44" t="s">
        <v>158</v>
      </c>
      <c r="D296" s="45" t="str">
        <f aca="true">OFFSET(plates!$B$34,CODE(LEFT(B296,1))-64,-1)&amp;"-"&amp;OFFSET(plates!$B$4,-1,MID(B296,2,3)+0)</f>
        <v>bc377-bc019</v>
      </c>
      <c r="E296" s="46" t="str">
        <f aca="true">OFFSET(plates!$B$34,CODE(LEFT(B296,1))-64,MID(B296,2,3)+0)&amp;""</f>
        <v/>
      </c>
      <c r="F296" s="46"/>
      <c r="G296" s="47"/>
      <c r="H296" s="47"/>
    </row>
    <row r="297" customFormat="false" ht="12.8" hidden="false" customHeight="false" outlineLevel="0" collapsed="false">
      <c r="A297" s="44" t="n">
        <v>4</v>
      </c>
      <c r="B297" s="44" t="s">
        <v>165</v>
      </c>
      <c r="C297" s="44" t="s">
        <v>158</v>
      </c>
      <c r="D297" s="45" t="str">
        <f aca="true">OFFSET(plates!$B$34,CODE(LEFT(B297,1))-64,-1)&amp;"-"&amp;OFFSET(plates!$B$4,-1,MID(B297,2,3)+0)</f>
        <v>bc406-bc019</v>
      </c>
      <c r="E297" s="46" t="str">
        <f aca="true">OFFSET(plates!$B$34,CODE(LEFT(B297,1))-64,MID(B297,2,3)+0)&amp;""</f>
        <v/>
      </c>
      <c r="F297" s="46"/>
      <c r="G297" s="47"/>
      <c r="H297" s="47"/>
    </row>
    <row r="298" customFormat="false" ht="12.8" hidden="false" customHeight="false" outlineLevel="0" collapsed="false">
      <c r="A298" s="44" t="n">
        <v>4</v>
      </c>
      <c r="B298" s="44" t="s">
        <v>166</v>
      </c>
      <c r="C298" s="44" t="s">
        <v>158</v>
      </c>
      <c r="D298" s="45" t="str">
        <f aca="true">OFFSET(plates!$B$34,CODE(LEFT(B298,1))-64,-1)&amp;"-"&amp;OFFSET(plates!$B$4,-1,MID(B298,2,3)+0)</f>
        <v>bc327-bc062</v>
      </c>
      <c r="E298" s="46" t="str">
        <f aca="true">OFFSET(plates!$B$34,CODE(LEFT(B298,1))-64,MID(B298,2,3)+0)&amp;""</f>
        <v/>
      </c>
      <c r="F298" s="46"/>
      <c r="G298" s="47"/>
      <c r="H298" s="47"/>
    </row>
    <row r="299" customFormat="false" ht="12.8" hidden="false" customHeight="false" outlineLevel="0" collapsed="false">
      <c r="A299" s="44" t="n">
        <v>4</v>
      </c>
      <c r="B299" s="44" t="s">
        <v>167</v>
      </c>
      <c r="C299" s="44" t="s">
        <v>158</v>
      </c>
      <c r="D299" s="45" t="str">
        <f aca="true">OFFSET(plates!$B$34,CODE(LEFT(B299,1))-64,-1)&amp;"-"&amp;OFFSET(plates!$B$4,-1,MID(B299,2,3)+0)</f>
        <v>bc357-bc062</v>
      </c>
      <c r="E299" s="46" t="str">
        <f aca="true">OFFSET(plates!$B$34,CODE(LEFT(B299,1))-64,MID(B299,2,3)+0)&amp;""</f>
        <v/>
      </c>
      <c r="F299" s="46"/>
      <c r="G299" s="47"/>
      <c r="H299" s="47"/>
    </row>
    <row r="300" customFormat="false" ht="12.8" hidden="false" customHeight="false" outlineLevel="0" collapsed="false">
      <c r="A300" s="44" t="n">
        <v>4</v>
      </c>
      <c r="B300" s="44" t="s">
        <v>168</v>
      </c>
      <c r="C300" s="44" t="s">
        <v>158</v>
      </c>
      <c r="D300" s="45" t="str">
        <f aca="true">OFFSET(plates!$B$34,CODE(LEFT(B300,1))-64,-1)&amp;"-"&amp;OFFSET(plates!$B$4,-1,MID(B300,2,3)+0)</f>
        <v>bc361-bc062</v>
      </c>
      <c r="E300" s="46" t="str">
        <f aca="true">OFFSET(plates!$B$34,CODE(LEFT(B300,1))-64,MID(B300,2,3)+0)&amp;""</f>
        <v/>
      </c>
      <c r="F300" s="46"/>
      <c r="G300" s="47"/>
      <c r="H300" s="47"/>
    </row>
    <row r="301" customFormat="false" ht="12.8" hidden="false" customHeight="false" outlineLevel="0" collapsed="false">
      <c r="A301" s="44" t="n">
        <v>4</v>
      </c>
      <c r="B301" s="44" t="s">
        <v>169</v>
      </c>
      <c r="C301" s="44" t="s">
        <v>158</v>
      </c>
      <c r="D301" s="45" t="str">
        <f aca="true">OFFSET(plates!$B$34,CODE(LEFT(B301,1))-64,-1)&amp;"-"&amp;OFFSET(plates!$B$4,-1,MID(B301,2,3)+0)</f>
        <v>bc362-bc062</v>
      </c>
      <c r="E301" s="46" t="str">
        <f aca="true">OFFSET(plates!$B$34,CODE(LEFT(B301,1))-64,MID(B301,2,3)+0)&amp;""</f>
        <v/>
      </c>
      <c r="F301" s="46"/>
      <c r="G301" s="47"/>
      <c r="H301" s="47"/>
    </row>
    <row r="302" customFormat="false" ht="12.8" hidden="false" customHeight="false" outlineLevel="0" collapsed="false">
      <c r="A302" s="44" t="n">
        <v>4</v>
      </c>
      <c r="B302" s="44" t="s">
        <v>170</v>
      </c>
      <c r="C302" s="44" t="s">
        <v>158</v>
      </c>
      <c r="D302" s="45" t="str">
        <f aca="true">OFFSET(plates!$B$34,CODE(LEFT(B302,1))-64,-1)&amp;"-"&amp;OFFSET(plates!$B$4,-1,MID(B302,2,3)+0)</f>
        <v>bc368-bc062</v>
      </c>
      <c r="E302" s="46" t="str">
        <f aca="true">OFFSET(plates!$B$34,CODE(LEFT(B302,1))-64,MID(B302,2,3)+0)&amp;""</f>
        <v/>
      </c>
      <c r="F302" s="46"/>
      <c r="G302" s="47"/>
      <c r="H302" s="47"/>
    </row>
    <row r="303" customFormat="false" ht="12.8" hidden="false" customHeight="false" outlineLevel="0" collapsed="false">
      <c r="A303" s="44" t="n">
        <v>4</v>
      </c>
      <c r="B303" s="44" t="s">
        <v>171</v>
      </c>
      <c r="C303" s="44" t="s">
        <v>158</v>
      </c>
      <c r="D303" s="45" t="str">
        <f aca="true">OFFSET(plates!$B$34,CODE(LEFT(B303,1))-64,-1)&amp;"-"&amp;OFFSET(plates!$B$4,-1,MID(B303,2,3)+0)</f>
        <v>bc370-bc062</v>
      </c>
      <c r="E303" s="46" t="str">
        <f aca="true">OFFSET(plates!$B$34,CODE(LEFT(B303,1))-64,MID(B303,2,3)+0)&amp;""</f>
        <v/>
      </c>
      <c r="F303" s="46"/>
      <c r="G303" s="47"/>
      <c r="H303" s="47"/>
    </row>
    <row r="304" customFormat="false" ht="12.8" hidden="false" customHeight="false" outlineLevel="0" collapsed="false">
      <c r="A304" s="44" t="n">
        <v>4</v>
      </c>
      <c r="B304" s="44" t="s">
        <v>172</v>
      </c>
      <c r="C304" s="44" t="s">
        <v>158</v>
      </c>
      <c r="D304" s="45" t="str">
        <f aca="true">OFFSET(plates!$B$34,CODE(LEFT(B304,1))-64,-1)&amp;"-"&amp;OFFSET(plates!$B$4,-1,MID(B304,2,3)+0)</f>
        <v>bc377-bc062</v>
      </c>
      <c r="E304" s="46" t="str">
        <f aca="true">OFFSET(plates!$B$34,CODE(LEFT(B304,1))-64,MID(B304,2,3)+0)&amp;""</f>
        <v/>
      </c>
      <c r="F304" s="46"/>
      <c r="G304" s="47"/>
      <c r="H304" s="47"/>
    </row>
    <row r="305" customFormat="false" ht="12.8" hidden="false" customHeight="false" outlineLevel="0" collapsed="false">
      <c r="A305" s="44" t="n">
        <v>4</v>
      </c>
      <c r="B305" s="44" t="s">
        <v>173</v>
      </c>
      <c r="C305" s="44" t="s">
        <v>158</v>
      </c>
      <c r="D305" s="45" t="str">
        <f aca="true">OFFSET(plates!$B$34,CODE(LEFT(B305,1))-64,-1)&amp;"-"&amp;OFFSET(plates!$B$4,-1,MID(B305,2,3)+0)</f>
        <v>bc406-bc062</v>
      </c>
      <c r="E305" s="46" t="str">
        <f aca="true">OFFSET(plates!$B$34,CODE(LEFT(B305,1))-64,MID(B305,2,3)+0)&amp;""</f>
        <v/>
      </c>
      <c r="F305" s="46"/>
      <c r="G305" s="47"/>
      <c r="H305" s="47"/>
    </row>
    <row r="306" customFormat="false" ht="12.8" hidden="false" customHeight="false" outlineLevel="0" collapsed="false">
      <c r="A306" s="44" t="n">
        <v>4</v>
      </c>
      <c r="B306" s="44" t="s">
        <v>174</v>
      </c>
      <c r="C306" s="44" t="s">
        <v>158</v>
      </c>
      <c r="D306" s="45" t="str">
        <f aca="true">OFFSET(plates!$B$34,CODE(LEFT(B306,1))-64,-1)&amp;"-"&amp;OFFSET(plates!$B$4,-1,MID(B306,2,3)+0)</f>
        <v>bc327-bc065</v>
      </c>
      <c r="E306" s="46" t="str">
        <f aca="true">OFFSET(plates!$B$34,CODE(LEFT(B306,1))-64,MID(B306,2,3)+0)&amp;""</f>
        <v/>
      </c>
      <c r="F306" s="46"/>
      <c r="G306" s="47"/>
      <c r="H306" s="47"/>
    </row>
    <row r="307" customFormat="false" ht="12.8" hidden="false" customHeight="false" outlineLevel="0" collapsed="false">
      <c r="A307" s="44" t="n">
        <v>4</v>
      </c>
      <c r="B307" s="44" t="s">
        <v>175</v>
      </c>
      <c r="C307" s="44" t="s">
        <v>158</v>
      </c>
      <c r="D307" s="45" t="str">
        <f aca="true">OFFSET(plates!$B$34,CODE(LEFT(B307,1))-64,-1)&amp;"-"&amp;OFFSET(plates!$B$4,-1,MID(B307,2,3)+0)</f>
        <v>bc357-bc065</v>
      </c>
      <c r="E307" s="46" t="str">
        <f aca="true">OFFSET(plates!$B$34,CODE(LEFT(B307,1))-64,MID(B307,2,3)+0)&amp;""</f>
        <v/>
      </c>
      <c r="F307" s="46"/>
      <c r="G307" s="47"/>
      <c r="H307" s="47"/>
    </row>
    <row r="308" customFormat="false" ht="12.8" hidden="false" customHeight="false" outlineLevel="0" collapsed="false">
      <c r="A308" s="44" t="n">
        <v>4</v>
      </c>
      <c r="B308" s="44" t="s">
        <v>176</v>
      </c>
      <c r="C308" s="44" t="s">
        <v>158</v>
      </c>
      <c r="D308" s="45" t="str">
        <f aca="true">OFFSET(plates!$B$34,CODE(LEFT(B308,1))-64,-1)&amp;"-"&amp;OFFSET(plates!$B$4,-1,MID(B308,2,3)+0)</f>
        <v>bc361-bc065</v>
      </c>
      <c r="E308" s="46" t="str">
        <f aca="true">OFFSET(plates!$B$34,CODE(LEFT(B308,1))-64,MID(B308,2,3)+0)&amp;""</f>
        <v/>
      </c>
      <c r="F308" s="46"/>
      <c r="G308" s="47"/>
      <c r="H308" s="47"/>
    </row>
    <row r="309" customFormat="false" ht="12.8" hidden="false" customHeight="false" outlineLevel="0" collapsed="false">
      <c r="A309" s="44" t="n">
        <v>4</v>
      </c>
      <c r="B309" s="44" t="s">
        <v>177</v>
      </c>
      <c r="C309" s="44" t="s">
        <v>158</v>
      </c>
      <c r="D309" s="45" t="str">
        <f aca="true">OFFSET(plates!$B$34,CODE(LEFT(B309,1))-64,-1)&amp;"-"&amp;OFFSET(plates!$B$4,-1,MID(B309,2,3)+0)</f>
        <v>bc362-bc065</v>
      </c>
      <c r="E309" s="46" t="str">
        <f aca="true">OFFSET(plates!$B$34,CODE(LEFT(B309,1))-64,MID(B309,2,3)+0)&amp;""</f>
        <v/>
      </c>
      <c r="F309" s="46"/>
      <c r="G309" s="47"/>
      <c r="H309" s="47"/>
    </row>
    <row r="310" customFormat="false" ht="12.8" hidden="false" customHeight="false" outlineLevel="0" collapsed="false">
      <c r="A310" s="44" t="n">
        <v>4</v>
      </c>
      <c r="B310" s="44" t="s">
        <v>178</v>
      </c>
      <c r="C310" s="44" t="s">
        <v>158</v>
      </c>
      <c r="D310" s="45" t="str">
        <f aca="true">OFFSET(plates!$B$34,CODE(LEFT(B310,1))-64,-1)&amp;"-"&amp;OFFSET(plates!$B$4,-1,MID(B310,2,3)+0)</f>
        <v>bc368-bc065</v>
      </c>
      <c r="E310" s="46" t="str">
        <f aca="true">OFFSET(plates!$B$34,CODE(LEFT(B310,1))-64,MID(B310,2,3)+0)&amp;""</f>
        <v/>
      </c>
      <c r="F310" s="46"/>
      <c r="G310" s="47"/>
      <c r="H310" s="47"/>
    </row>
    <row r="311" customFormat="false" ht="12.8" hidden="false" customHeight="false" outlineLevel="0" collapsed="false">
      <c r="A311" s="44" t="n">
        <v>4</v>
      </c>
      <c r="B311" s="44" t="s">
        <v>179</v>
      </c>
      <c r="C311" s="44" t="s">
        <v>158</v>
      </c>
      <c r="D311" s="45" t="str">
        <f aca="true">OFFSET(plates!$B$34,CODE(LEFT(B311,1))-64,-1)&amp;"-"&amp;OFFSET(plates!$B$4,-1,MID(B311,2,3)+0)</f>
        <v>bc370-bc065</v>
      </c>
      <c r="E311" s="46" t="str">
        <f aca="true">OFFSET(plates!$B$34,CODE(LEFT(B311,1))-64,MID(B311,2,3)+0)&amp;""</f>
        <v/>
      </c>
      <c r="F311" s="46"/>
      <c r="G311" s="47"/>
      <c r="H311" s="47"/>
    </row>
    <row r="312" customFormat="false" ht="12.8" hidden="false" customHeight="false" outlineLevel="0" collapsed="false">
      <c r="A312" s="44" t="n">
        <v>4</v>
      </c>
      <c r="B312" s="44" t="s">
        <v>180</v>
      </c>
      <c r="C312" s="44" t="s">
        <v>158</v>
      </c>
      <c r="D312" s="45" t="str">
        <f aca="true">OFFSET(plates!$B$34,CODE(LEFT(B312,1))-64,-1)&amp;"-"&amp;OFFSET(plates!$B$4,-1,MID(B312,2,3)+0)</f>
        <v>bc377-bc065</v>
      </c>
      <c r="E312" s="46" t="str">
        <f aca="true">OFFSET(plates!$B$34,CODE(LEFT(B312,1))-64,MID(B312,2,3)+0)&amp;""</f>
        <v/>
      </c>
      <c r="F312" s="46"/>
      <c r="G312" s="47"/>
      <c r="H312" s="47"/>
    </row>
    <row r="313" customFormat="false" ht="12.8" hidden="false" customHeight="false" outlineLevel="0" collapsed="false">
      <c r="A313" s="44" t="n">
        <v>4</v>
      </c>
      <c r="B313" s="44" t="s">
        <v>181</v>
      </c>
      <c r="C313" s="44" t="s">
        <v>158</v>
      </c>
      <c r="D313" s="45" t="str">
        <f aca="true">OFFSET(plates!$B$34,CODE(LEFT(B313,1))-64,-1)&amp;"-"&amp;OFFSET(plates!$B$4,-1,MID(B313,2,3)+0)</f>
        <v>bc406-bc065</v>
      </c>
      <c r="E313" s="46" t="str">
        <f aca="true">OFFSET(plates!$B$34,CODE(LEFT(B313,1))-64,MID(B313,2,3)+0)&amp;""</f>
        <v/>
      </c>
      <c r="F313" s="46"/>
      <c r="G313" s="47"/>
      <c r="H313" s="47"/>
    </row>
    <row r="314" customFormat="false" ht="12.8" hidden="false" customHeight="false" outlineLevel="0" collapsed="false">
      <c r="A314" s="44" t="n">
        <v>4</v>
      </c>
      <c r="B314" s="44" t="s">
        <v>182</v>
      </c>
      <c r="C314" s="44" t="s">
        <v>158</v>
      </c>
      <c r="D314" s="45" t="str">
        <f aca="true">OFFSET(plates!$B$34,CODE(LEFT(B314,1))-64,-1)&amp;"-"&amp;OFFSET(plates!$B$4,-1,MID(B314,2,3)+0)</f>
        <v>bc327-bc082</v>
      </c>
      <c r="E314" s="46" t="str">
        <f aca="true">OFFSET(plates!$B$34,CODE(LEFT(B314,1))-64,MID(B314,2,3)+0)&amp;""</f>
        <v/>
      </c>
      <c r="F314" s="46"/>
      <c r="G314" s="47"/>
      <c r="H314" s="47"/>
    </row>
    <row r="315" customFormat="false" ht="12.8" hidden="false" customHeight="false" outlineLevel="0" collapsed="false">
      <c r="A315" s="44" t="n">
        <v>4</v>
      </c>
      <c r="B315" s="44" t="s">
        <v>183</v>
      </c>
      <c r="C315" s="44" t="s">
        <v>158</v>
      </c>
      <c r="D315" s="45" t="str">
        <f aca="true">OFFSET(plates!$B$34,CODE(LEFT(B315,1))-64,-1)&amp;"-"&amp;OFFSET(plates!$B$4,-1,MID(B315,2,3)+0)</f>
        <v>bc357-bc082</v>
      </c>
      <c r="E315" s="46" t="str">
        <f aca="true">OFFSET(plates!$B$34,CODE(LEFT(B315,1))-64,MID(B315,2,3)+0)&amp;""</f>
        <v/>
      </c>
      <c r="F315" s="46"/>
      <c r="G315" s="47"/>
      <c r="H315" s="47"/>
    </row>
    <row r="316" customFormat="false" ht="12.8" hidden="false" customHeight="false" outlineLevel="0" collapsed="false">
      <c r="A316" s="44" t="n">
        <v>4</v>
      </c>
      <c r="B316" s="44" t="s">
        <v>184</v>
      </c>
      <c r="C316" s="44" t="s">
        <v>158</v>
      </c>
      <c r="D316" s="45" t="str">
        <f aca="true">OFFSET(plates!$B$34,CODE(LEFT(B316,1))-64,-1)&amp;"-"&amp;OFFSET(plates!$B$4,-1,MID(B316,2,3)+0)</f>
        <v>bc361-bc082</v>
      </c>
      <c r="E316" s="46" t="str">
        <f aca="true">OFFSET(plates!$B$34,CODE(LEFT(B316,1))-64,MID(B316,2,3)+0)&amp;""</f>
        <v/>
      </c>
      <c r="F316" s="46"/>
      <c r="G316" s="47"/>
      <c r="H316" s="47"/>
    </row>
    <row r="317" customFormat="false" ht="12.8" hidden="false" customHeight="false" outlineLevel="0" collapsed="false">
      <c r="A317" s="44" t="n">
        <v>4</v>
      </c>
      <c r="B317" s="44" t="s">
        <v>185</v>
      </c>
      <c r="C317" s="44" t="s">
        <v>158</v>
      </c>
      <c r="D317" s="45" t="str">
        <f aca="true">OFFSET(plates!$B$34,CODE(LEFT(B317,1))-64,-1)&amp;"-"&amp;OFFSET(plates!$B$4,-1,MID(B317,2,3)+0)</f>
        <v>bc362-bc082</v>
      </c>
      <c r="E317" s="46" t="str">
        <f aca="true">OFFSET(plates!$B$34,CODE(LEFT(B317,1))-64,MID(B317,2,3)+0)&amp;""</f>
        <v/>
      </c>
      <c r="F317" s="46"/>
      <c r="G317" s="47"/>
      <c r="H317" s="47"/>
    </row>
    <row r="318" customFormat="false" ht="12.8" hidden="false" customHeight="false" outlineLevel="0" collapsed="false">
      <c r="A318" s="44" t="n">
        <v>4</v>
      </c>
      <c r="B318" s="44" t="s">
        <v>186</v>
      </c>
      <c r="C318" s="44" t="s">
        <v>158</v>
      </c>
      <c r="D318" s="45" t="str">
        <f aca="true">OFFSET(plates!$B$34,CODE(LEFT(B318,1))-64,-1)&amp;"-"&amp;OFFSET(plates!$B$4,-1,MID(B318,2,3)+0)</f>
        <v>bc368-bc082</v>
      </c>
      <c r="E318" s="46" t="str">
        <f aca="true">OFFSET(plates!$B$34,CODE(LEFT(B318,1))-64,MID(B318,2,3)+0)&amp;""</f>
        <v/>
      </c>
      <c r="F318" s="46"/>
      <c r="G318" s="47"/>
      <c r="H318" s="47"/>
    </row>
    <row r="319" customFormat="false" ht="12.8" hidden="false" customHeight="false" outlineLevel="0" collapsed="false">
      <c r="A319" s="44" t="n">
        <v>4</v>
      </c>
      <c r="B319" s="44" t="s">
        <v>187</v>
      </c>
      <c r="C319" s="44" t="s">
        <v>158</v>
      </c>
      <c r="D319" s="45" t="str">
        <f aca="true">OFFSET(plates!$B$34,CODE(LEFT(B319,1))-64,-1)&amp;"-"&amp;OFFSET(plates!$B$4,-1,MID(B319,2,3)+0)</f>
        <v>bc370-bc082</v>
      </c>
      <c r="E319" s="46" t="str">
        <f aca="true">OFFSET(plates!$B$34,CODE(LEFT(B319,1))-64,MID(B319,2,3)+0)&amp;""</f>
        <v/>
      </c>
      <c r="F319" s="46"/>
      <c r="G319" s="47"/>
      <c r="H319" s="47"/>
    </row>
    <row r="320" customFormat="false" ht="12.8" hidden="false" customHeight="false" outlineLevel="0" collapsed="false">
      <c r="A320" s="44" t="n">
        <v>4</v>
      </c>
      <c r="B320" s="44" t="s">
        <v>188</v>
      </c>
      <c r="C320" s="44" t="s">
        <v>158</v>
      </c>
      <c r="D320" s="45" t="str">
        <f aca="true">OFFSET(plates!$B$34,CODE(LEFT(B320,1))-64,-1)&amp;"-"&amp;OFFSET(plates!$B$4,-1,MID(B320,2,3)+0)</f>
        <v>bc377-bc082</v>
      </c>
      <c r="E320" s="46" t="str">
        <f aca="true">OFFSET(plates!$B$34,CODE(LEFT(B320,1))-64,MID(B320,2,3)+0)&amp;""</f>
        <v/>
      </c>
      <c r="F320" s="46"/>
      <c r="G320" s="47"/>
      <c r="H320" s="47"/>
    </row>
    <row r="321" customFormat="false" ht="12.8" hidden="false" customHeight="false" outlineLevel="0" collapsed="false">
      <c r="A321" s="44" t="n">
        <v>4</v>
      </c>
      <c r="B321" s="44" t="s">
        <v>189</v>
      </c>
      <c r="C321" s="44" t="s">
        <v>158</v>
      </c>
      <c r="D321" s="45" t="str">
        <f aca="true">OFFSET(plates!$B$34,CODE(LEFT(B321,1))-64,-1)&amp;"-"&amp;OFFSET(plates!$B$4,-1,MID(B321,2,3)+0)</f>
        <v>bc406-bc082</v>
      </c>
      <c r="E321" s="46" t="str">
        <f aca="true">OFFSET(plates!$B$34,CODE(LEFT(B321,1))-64,MID(B321,2,3)+0)&amp;""</f>
        <v/>
      </c>
      <c r="F321" s="46"/>
      <c r="G321" s="47"/>
      <c r="H321" s="47"/>
    </row>
    <row r="322" customFormat="false" ht="12.8" hidden="false" customHeight="false" outlineLevel="0" collapsed="false">
      <c r="A322" s="44" t="n">
        <v>4</v>
      </c>
      <c r="B322" s="44" t="s">
        <v>190</v>
      </c>
      <c r="C322" s="44" t="s">
        <v>158</v>
      </c>
      <c r="D322" s="45" t="str">
        <f aca="true">OFFSET(plates!$B$34,CODE(LEFT(B322,1))-64,-1)&amp;"-"&amp;OFFSET(plates!$B$4,-1,MID(B322,2,3)+0)</f>
        <v>bc327-bc120</v>
      </c>
      <c r="E322" s="46" t="str">
        <f aca="true">OFFSET(plates!$B$34,CODE(LEFT(B322,1))-64,MID(B322,2,3)+0)&amp;""</f>
        <v/>
      </c>
      <c r="F322" s="46"/>
      <c r="G322" s="47"/>
      <c r="H322" s="47"/>
    </row>
    <row r="323" customFormat="false" ht="12.8" hidden="false" customHeight="false" outlineLevel="0" collapsed="false">
      <c r="A323" s="44" t="n">
        <v>4</v>
      </c>
      <c r="B323" s="44" t="s">
        <v>191</v>
      </c>
      <c r="C323" s="44" t="s">
        <v>158</v>
      </c>
      <c r="D323" s="45" t="str">
        <f aca="true">OFFSET(plates!$B$34,CODE(LEFT(B323,1))-64,-1)&amp;"-"&amp;OFFSET(plates!$B$4,-1,MID(B323,2,3)+0)</f>
        <v>bc357-bc120</v>
      </c>
      <c r="E323" s="46" t="str">
        <f aca="true">OFFSET(plates!$B$34,CODE(LEFT(B323,1))-64,MID(B323,2,3)+0)&amp;""</f>
        <v/>
      </c>
      <c r="F323" s="46"/>
      <c r="G323" s="47"/>
      <c r="H323" s="47"/>
    </row>
    <row r="324" customFormat="false" ht="12.8" hidden="false" customHeight="false" outlineLevel="0" collapsed="false">
      <c r="A324" s="44" t="n">
        <v>4</v>
      </c>
      <c r="B324" s="44" t="s">
        <v>192</v>
      </c>
      <c r="C324" s="44" t="s">
        <v>158</v>
      </c>
      <c r="D324" s="45" t="str">
        <f aca="true">OFFSET(plates!$B$34,CODE(LEFT(B324,1))-64,-1)&amp;"-"&amp;OFFSET(plates!$B$4,-1,MID(B324,2,3)+0)</f>
        <v>bc361-bc120</v>
      </c>
      <c r="E324" s="46" t="str">
        <f aca="true">OFFSET(plates!$B$34,CODE(LEFT(B324,1))-64,MID(B324,2,3)+0)&amp;""</f>
        <v/>
      </c>
      <c r="F324" s="46"/>
      <c r="G324" s="47"/>
      <c r="H324" s="47"/>
    </row>
    <row r="325" customFormat="false" ht="12.8" hidden="false" customHeight="false" outlineLevel="0" collapsed="false">
      <c r="A325" s="44" t="n">
        <v>4</v>
      </c>
      <c r="B325" s="44" t="s">
        <v>193</v>
      </c>
      <c r="C325" s="44" t="s">
        <v>158</v>
      </c>
      <c r="D325" s="45" t="str">
        <f aca="true">OFFSET(plates!$B$34,CODE(LEFT(B325,1))-64,-1)&amp;"-"&amp;OFFSET(plates!$B$4,-1,MID(B325,2,3)+0)</f>
        <v>bc362-bc120</v>
      </c>
      <c r="E325" s="46" t="str">
        <f aca="true">OFFSET(plates!$B$34,CODE(LEFT(B325,1))-64,MID(B325,2,3)+0)&amp;""</f>
        <v/>
      </c>
      <c r="F325" s="46"/>
      <c r="G325" s="47"/>
      <c r="H325" s="47"/>
    </row>
    <row r="326" customFormat="false" ht="12.8" hidden="false" customHeight="false" outlineLevel="0" collapsed="false">
      <c r="A326" s="44" t="n">
        <v>4</v>
      </c>
      <c r="B326" s="44" t="s">
        <v>194</v>
      </c>
      <c r="C326" s="44" t="s">
        <v>158</v>
      </c>
      <c r="D326" s="45" t="str">
        <f aca="true">OFFSET(plates!$B$34,CODE(LEFT(B326,1))-64,-1)&amp;"-"&amp;OFFSET(plates!$B$4,-1,MID(B326,2,3)+0)</f>
        <v>bc368-bc120</v>
      </c>
      <c r="E326" s="46" t="str">
        <f aca="true">OFFSET(plates!$B$34,CODE(LEFT(B326,1))-64,MID(B326,2,3)+0)&amp;""</f>
        <v/>
      </c>
      <c r="F326" s="46"/>
      <c r="G326" s="47"/>
      <c r="H326" s="47"/>
    </row>
    <row r="327" customFormat="false" ht="12.8" hidden="false" customHeight="false" outlineLevel="0" collapsed="false">
      <c r="A327" s="44" t="n">
        <v>4</v>
      </c>
      <c r="B327" s="44" t="s">
        <v>195</v>
      </c>
      <c r="C327" s="44" t="s">
        <v>158</v>
      </c>
      <c r="D327" s="45" t="str">
        <f aca="true">OFFSET(plates!$B$34,CODE(LEFT(B327,1))-64,-1)&amp;"-"&amp;OFFSET(plates!$B$4,-1,MID(B327,2,3)+0)</f>
        <v>bc370-bc120</v>
      </c>
      <c r="E327" s="46" t="str">
        <f aca="true">OFFSET(plates!$B$34,CODE(LEFT(B327,1))-64,MID(B327,2,3)+0)&amp;""</f>
        <v/>
      </c>
      <c r="F327" s="46"/>
      <c r="G327" s="47"/>
      <c r="H327" s="47"/>
    </row>
    <row r="328" customFormat="false" ht="12.8" hidden="false" customHeight="false" outlineLevel="0" collapsed="false">
      <c r="A328" s="44" t="n">
        <v>4</v>
      </c>
      <c r="B328" s="44" t="s">
        <v>196</v>
      </c>
      <c r="C328" s="44" t="s">
        <v>158</v>
      </c>
      <c r="D328" s="45" t="str">
        <f aca="true">OFFSET(plates!$B$34,CODE(LEFT(B328,1))-64,-1)&amp;"-"&amp;OFFSET(plates!$B$4,-1,MID(B328,2,3)+0)</f>
        <v>bc377-bc120</v>
      </c>
      <c r="E328" s="46" t="str">
        <f aca="true">OFFSET(plates!$B$34,CODE(LEFT(B328,1))-64,MID(B328,2,3)+0)&amp;""</f>
        <v/>
      </c>
      <c r="F328" s="46"/>
      <c r="G328" s="47"/>
      <c r="H328" s="47"/>
    </row>
    <row r="329" customFormat="false" ht="12.8" hidden="false" customHeight="false" outlineLevel="0" collapsed="false">
      <c r="A329" s="44" t="n">
        <v>4</v>
      </c>
      <c r="B329" s="44" t="s">
        <v>197</v>
      </c>
      <c r="C329" s="44" t="s">
        <v>158</v>
      </c>
      <c r="D329" s="45" t="str">
        <f aca="true">OFFSET(plates!$B$34,CODE(LEFT(B329,1))-64,-1)&amp;"-"&amp;OFFSET(plates!$B$4,-1,MID(B329,2,3)+0)</f>
        <v>bc406-bc120</v>
      </c>
      <c r="E329" s="46" t="str">
        <f aca="true">OFFSET(plates!$B$34,CODE(LEFT(B329,1))-64,MID(B329,2,3)+0)&amp;""</f>
        <v/>
      </c>
      <c r="F329" s="46"/>
      <c r="G329" s="47"/>
      <c r="H329" s="47"/>
    </row>
    <row r="330" customFormat="false" ht="12.8" hidden="false" customHeight="false" outlineLevel="0" collapsed="false">
      <c r="A330" s="44" t="n">
        <v>4</v>
      </c>
      <c r="B330" s="44" t="s">
        <v>198</v>
      </c>
      <c r="C330" s="44" t="s">
        <v>158</v>
      </c>
      <c r="D330" s="45" t="str">
        <f aca="true">OFFSET(plates!$B$34,CODE(LEFT(B330,1))-64,-1)&amp;"-"&amp;OFFSET(plates!$B$4,-1,MID(B330,2,3)+0)</f>
        <v>bc327-bc139</v>
      </c>
      <c r="E330" s="46" t="str">
        <f aca="true">OFFSET(plates!$B$34,CODE(LEFT(B330,1))-64,MID(B330,2,3)+0)&amp;""</f>
        <v/>
      </c>
      <c r="F330" s="46"/>
      <c r="G330" s="47"/>
      <c r="H330" s="47"/>
    </row>
    <row r="331" customFormat="false" ht="12.8" hidden="false" customHeight="false" outlineLevel="0" collapsed="false">
      <c r="A331" s="44" t="n">
        <v>4</v>
      </c>
      <c r="B331" s="44" t="s">
        <v>199</v>
      </c>
      <c r="C331" s="44" t="s">
        <v>158</v>
      </c>
      <c r="D331" s="45" t="str">
        <f aca="true">OFFSET(plates!$B$34,CODE(LEFT(B331,1))-64,-1)&amp;"-"&amp;OFFSET(plates!$B$4,-1,MID(B331,2,3)+0)</f>
        <v>bc357-bc139</v>
      </c>
      <c r="E331" s="46" t="str">
        <f aca="true">OFFSET(plates!$B$34,CODE(LEFT(B331,1))-64,MID(B331,2,3)+0)&amp;""</f>
        <v/>
      </c>
      <c r="F331" s="46"/>
      <c r="G331" s="47"/>
      <c r="H331" s="47"/>
    </row>
    <row r="332" customFormat="false" ht="12.8" hidden="false" customHeight="false" outlineLevel="0" collapsed="false">
      <c r="A332" s="44" t="n">
        <v>4</v>
      </c>
      <c r="B332" s="44" t="s">
        <v>200</v>
      </c>
      <c r="C332" s="44" t="s">
        <v>158</v>
      </c>
      <c r="D332" s="45" t="str">
        <f aca="true">OFFSET(plates!$B$34,CODE(LEFT(B332,1))-64,-1)&amp;"-"&amp;OFFSET(plates!$B$4,-1,MID(B332,2,3)+0)</f>
        <v>bc361-bc139</v>
      </c>
      <c r="E332" s="46" t="str">
        <f aca="true">OFFSET(plates!$B$34,CODE(LEFT(B332,1))-64,MID(B332,2,3)+0)&amp;""</f>
        <v/>
      </c>
      <c r="F332" s="46"/>
      <c r="G332" s="47"/>
      <c r="H332" s="47"/>
    </row>
    <row r="333" customFormat="false" ht="12.8" hidden="false" customHeight="false" outlineLevel="0" collapsed="false">
      <c r="A333" s="44" t="n">
        <v>4</v>
      </c>
      <c r="B333" s="44" t="s">
        <v>201</v>
      </c>
      <c r="C333" s="44" t="s">
        <v>158</v>
      </c>
      <c r="D333" s="45" t="str">
        <f aca="true">OFFSET(plates!$B$34,CODE(LEFT(B333,1))-64,-1)&amp;"-"&amp;OFFSET(plates!$B$4,-1,MID(B333,2,3)+0)</f>
        <v>bc362-bc139</v>
      </c>
      <c r="E333" s="46" t="str">
        <f aca="true">OFFSET(plates!$B$34,CODE(LEFT(B333,1))-64,MID(B333,2,3)+0)&amp;""</f>
        <v/>
      </c>
      <c r="F333" s="46"/>
      <c r="G333" s="47"/>
      <c r="H333" s="47"/>
    </row>
    <row r="334" customFormat="false" ht="12.8" hidden="false" customHeight="false" outlineLevel="0" collapsed="false">
      <c r="A334" s="44" t="n">
        <v>4</v>
      </c>
      <c r="B334" s="44" t="s">
        <v>202</v>
      </c>
      <c r="C334" s="44" t="s">
        <v>158</v>
      </c>
      <c r="D334" s="45" t="str">
        <f aca="true">OFFSET(plates!$B$34,CODE(LEFT(B334,1))-64,-1)&amp;"-"&amp;OFFSET(plates!$B$4,-1,MID(B334,2,3)+0)</f>
        <v>bc368-bc139</v>
      </c>
      <c r="E334" s="46" t="str">
        <f aca="true">OFFSET(plates!$B$34,CODE(LEFT(B334,1))-64,MID(B334,2,3)+0)&amp;""</f>
        <v/>
      </c>
      <c r="F334" s="46"/>
      <c r="G334" s="47"/>
      <c r="H334" s="47"/>
    </row>
    <row r="335" customFormat="false" ht="12.8" hidden="false" customHeight="false" outlineLevel="0" collapsed="false">
      <c r="A335" s="44" t="n">
        <v>4</v>
      </c>
      <c r="B335" s="44" t="s">
        <v>203</v>
      </c>
      <c r="C335" s="44" t="s">
        <v>158</v>
      </c>
      <c r="D335" s="45" t="str">
        <f aca="true">OFFSET(plates!$B$34,CODE(LEFT(B335,1))-64,-1)&amp;"-"&amp;OFFSET(plates!$B$4,-1,MID(B335,2,3)+0)</f>
        <v>bc370-bc139</v>
      </c>
      <c r="E335" s="46" t="str">
        <f aca="true">OFFSET(plates!$B$34,CODE(LEFT(B335,1))-64,MID(B335,2,3)+0)&amp;""</f>
        <v/>
      </c>
      <c r="F335" s="46"/>
      <c r="G335" s="47"/>
      <c r="H335" s="47"/>
    </row>
    <row r="336" customFormat="false" ht="12.8" hidden="false" customHeight="false" outlineLevel="0" collapsed="false">
      <c r="A336" s="44" t="n">
        <v>4</v>
      </c>
      <c r="B336" s="44" t="s">
        <v>204</v>
      </c>
      <c r="C336" s="44" t="s">
        <v>158</v>
      </c>
      <c r="D336" s="45" t="str">
        <f aca="true">OFFSET(plates!$B$34,CODE(LEFT(B336,1))-64,-1)&amp;"-"&amp;OFFSET(plates!$B$4,-1,MID(B336,2,3)+0)</f>
        <v>bc377-bc139</v>
      </c>
      <c r="E336" s="46" t="str">
        <f aca="true">OFFSET(plates!$B$34,CODE(LEFT(B336,1))-64,MID(B336,2,3)+0)&amp;""</f>
        <v/>
      </c>
      <c r="F336" s="46"/>
      <c r="G336" s="47"/>
      <c r="H336" s="47"/>
    </row>
    <row r="337" customFormat="false" ht="12.8" hidden="false" customHeight="false" outlineLevel="0" collapsed="false">
      <c r="A337" s="44" t="n">
        <v>4</v>
      </c>
      <c r="B337" s="44" t="s">
        <v>205</v>
      </c>
      <c r="C337" s="44" t="s">
        <v>158</v>
      </c>
      <c r="D337" s="45" t="str">
        <f aca="true">OFFSET(plates!$B$34,CODE(LEFT(B337,1))-64,-1)&amp;"-"&amp;OFFSET(plates!$B$4,-1,MID(B337,2,3)+0)</f>
        <v>bc406-bc139</v>
      </c>
      <c r="E337" s="46" t="str">
        <f aca="true">OFFSET(plates!$B$34,CODE(LEFT(B337,1))-64,MID(B337,2,3)+0)&amp;""</f>
        <v/>
      </c>
      <c r="F337" s="46"/>
      <c r="G337" s="47"/>
      <c r="H337" s="47"/>
    </row>
    <row r="338" customFormat="false" ht="12.8" hidden="false" customHeight="false" outlineLevel="0" collapsed="false">
      <c r="A338" s="44" t="n">
        <v>4</v>
      </c>
      <c r="B338" s="44" t="s">
        <v>206</v>
      </c>
      <c r="C338" s="44" t="s">
        <v>158</v>
      </c>
      <c r="D338" s="45" t="str">
        <f aca="true">OFFSET(plates!$B$34,CODE(LEFT(B338,1))-64,-1)&amp;"-"&amp;OFFSET(plates!$B$4,-1,MID(B338,2,3)+0)</f>
        <v>bc327-bc145</v>
      </c>
      <c r="E338" s="46" t="str">
        <f aca="true">OFFSET(plates!$B$34,CODE(LEFT(B338,1))-64,MID(B338,2,3)+0)&amp;""</f>
        <v/>
      </c>
      <c r="F338" s="46"/>
      <c r="G338" s="47"/>
      <c r="H338" s="47"/>
    </row>
    <row r="339" customFormat="false" ht="12.8" hidden="false" customHeight="false" outlineLevel="0" collapsed="false">
      <c r="A339" s="44" t="n">
        <v>4</v>
      </c>
      <c r="B339" s="44" t="s">
        <v>207</v>
      </c>
      <c r="C339" s="44" t="s">
        <v>158</v>
      </c>
      <c r="D339" s="45" t="str">
        <f aca="true">OFFSET(plates!$B$34,CODE(LEFT(B339,1))-64,-1)&amp;"-"&amp;OFFSET(plates!$B$4,-1,MID(B339,2,3)+0)</f>
        <v>bc357-bc145</v>
      </c>
      <c r="E339" s="46" t="str">
        <f aca="true">OFFSET(plates!$B$34,CODE(LEFT(B339,1))-64,MID(B339,2,3)+0)&amp;""</f>
        <v/>
      </c>
      <c r="F339" s="46"/>
      <c r="G339" s="47"/>
      <c r="H339" s="47"/>
    </row>
    <row r="340" customFormat="false" ht="12.8" hidden="false" customHeight="false" outlineLevel="0" collapsed="false">
      <c r="A340" s="44" t="n">
        <v>4</v>
      </c>
      <c r="B340" s="44" t="s">
        <v>208</v>
      </c>
      <c r="C340" s="44" t="s">
        <v>158</v>
      </c>
      <c r="D340" s="45" t="str">
        <f aca="true">OFFSET(plates!$B$34,CODE(LEFT(B340,1))-64,-1)&amp;"-"&amp;OFFSET(plates!$B$4,-1,MID(B340,2,3)+0)</f>
        <v>bc361-bc145</v>
      </c>
      <c r="E340" s="46" t="str">
        <f aca="true">OFFSET(plates!$B$34,CODE(LEFT(B340,1))-64,MID(B340,2,3)+0)&amp;""</f>
        <v/>
      </c>
      <c r="F340" s="46"/>
      <c r="G340" s="47"/>
      <c r="H340" s="47"/>
    </row>
    <row r="341" customFormat="false" ht="12.8" hidden="false" customHeight="false" outlineLevel="0" collapsed="false">
      <c r="A341" s="44" t="n">
        <v>4</v>
      </c>
      <c r="B341" s="44" t="s">
        <v>209</v>
      </c>
      <c r="C341" s="44" t="s">
        <v>158</v>
      </c>
      <c r="D341" s="45" t="str">
        <f aca="true">OFFSET(plates!$B$34,CODE(LEFT(B341,1))-64,-1)&amp;"-"&amp;OFFSET(plates!$B$4,-1,MID(B341,2,3)+0)</f>
        <v>bc362-bc145</v>
      </c>
      <c r="E341" s="46" t="str">
        <f aca="true">OFFSET(plates!$B$34,CODE(LEFT(B341,1))-64,MID(B341,2,3)+0)&amp;""</f>
        <v/>
      </c>
      <c r="F341" s="46"/>
      <c r="G341" s="47"/>
      <c r="H341" s="47"/>
    </row>
    <row r="342" customFormat="false" ht="12.8" hidden="false" customHeight="false" outlineLevel="0" collapsed="false">
      <c r="A342" s="44" t="n">
        <v>4</v>
      </c>
      <c r="B342" s="44" t="s">
        <v>210</v>
      </c>
      <c r="C342" s="44" t="s">
        <v>158</v>
      </c>
      <c r="D342" s="45" t="str">
        <f aca="true">OFFSET(plates!$B$34,CODE(LEFT(B342,1))-64,-1)&amp;"-"&amp;OFFSET(plates!$B$4,-1,MID(B342,2,3)+0)</f>
        <v>bc368-bc145</v>
      </c>
      <c r="E342" s="46" t="str">
        <f aca="true">OFFSET(plates!$B$34,CODE(LEFT(B342,1))-64,MID(B342,2,3)+0)&amp;""</f>
        <v/>
      </c>
      <c r="F342" s="46"/>
      <c r="G342" s="47"/>
      <c r="H342" s="47"/>
    </row>
    <row r="343" customFormat="false" ht="12.8" hidden="false" customHeight="false" outlineLevel="0" collapsed="false">
      <c r="A343" s="44" t="n">
        <v>4</v>
      </c>
      <c r="B343" s="44" t="s">
        <v>211</v>
      </c>
      <c r="C343" s="44" t="s">
        <v>158</v>
      </c>
      <c r="D343" s="45" t="str">
        <f aca="true">OFFSET(plates!$B$34,CODE(LEFT(B343,1))-64,-1)&amp;"-"&amp;OFFSET(plates!$B$4,-1,MID(B343,2,3)+0)</f>
        <v>bc370-bc145</v>
      </c>
      <c r="E343" s="46" t="str">
        <f aca="true">OFFSET(plates!$B$34,CODE(LEFT(B343,1))-64,MID(B343,2,3)+0)&amp;""</f>
        <v/>
      </c>
      <c r="F343" s="46"/>
      <c r="G343" s="47"/>
      <c r="H343" s="47"/>
    </row>
    <row r="344" customFormat="false" ht="12.8" hidden="false" customHeight="false" outlineLevel="0" collapsed="false">
      <c r="A344" s="44" t="n">
        <v>4</v>
      </c>
      <c r="B344" s="44" t="s">
        <v>212</v>
      </c>
      <c r="C344" s="44" t="s">
        <v>158</v>
      </c>
      <c r="D344" s="45" t="str">
        <f aca="true">OFFSET(plates!$B$34,CODE(LEFT(B344,1))-64,-1)&amp;"-"&amp;OFFSET(plates!$B$4,-1,MID(B344,2,3)+0)</f>
        <v>bc377-bc145</v>
      </c>
      <c r="E344" s="46" t="str">
        <f aca="true">OFFSET(plates!$B$34,CODE(LEFT(B344,1))-64,MID(B344,2,3)+0)&amp;""</f>
        <v/>
      </c>
      <c r="F344" s="46"/>
      <c r="G344" s="47"/>
      <c r="H344" s="47"/>
    </row>
    <row r="345" customFormat="false" ht="12.8" hidden="false" customHeight="false" outlineLevel="0" collapsed="false">
      <c r="A345" s="44" t="n">
        <v>4</v>
      </c>
      <c r="B345" s="44" t="s">
        <v>213</v>
      </c>
      <c r="C345" s="44" t="s">
        <v>158</v>
      </c>
      <c r="D345" s="45" t="str">
        <f aca="true">OFFSET(plates!$B$34,CODE(LEFT(B345,1))-64,-1)&amp;"-"&amp;OFFSET(plates!$B$4,-1,MID(B345,2,3)+0)</f>
        <v>bc406-bc145</v>
      </c>
      <c r="E345" s="46" t="str">
        <f aca="true">OFFSET(plates!$B$34,CODE(LEFT(B345,1))-64,MID(B345,2,3)+0)&amp;""</f>
        <v/>
      </c>
      <c r="F345" s="46"/>
      <c r="G345" s="47"/>
      <c r="H345" s="47"/>
    </row>
    <row r="346" customFormat="false" ht="12.8" hidden="false" customHeight="false" outlineLevel="0" collapsed="false">
      <c r="A346" s="44" t="n">
        <v>4</v>
      </c>
      <c r="B346" s="44" t="s">
        <v>214</v>
      </c>
      <c r="C346" s="44" t="s">
        <v>158</v>
      </c>
      <c r="D346" s="45" t="str">
        <f aca="true">OFFSET(plates!$B$34,CODE(LEFT(B346,1))-64,-1)&amp;"-"&amp;OFFSET(plates!$B$4,-1,MID(B346,2,3)+0)</f>
        <v>bc327-bc150</v>
      </c>
      <c r="E346" s="46" t="str">
        <f aca="true">OFFSET(plates!$B$34,CODE(LEFT(B346,1))-64,MID(B346,2,3)+0)&amp;""</f>
        <v/>
      </c>
      <c r="F346" s="46"/>
      <c r="G346" s="47"/>
      <c r="H346" s="47"/>
    </row>
    <row r="347" customFormat="false" ht="12.8" hidden="false" customHeight="false" outlineLevel="0" collapsed="false">
      <c r="A347" s="44" t="n">
        <v>4</v>
      </c>
      <c r="B347" s="44" t="s">
        <v>215</v>
      </c>
      <c r="C347" s="44" t="s">
        <v>158</v>
      </c>
      <c r="D347" s="45" t="str">
        <f aca="true">OFFSET(plates!$B$34,CODE(LEFT(B347,1))-64,-1)&amp;"-"&amp;OFFSET(plates!$B$4,-1,MID(B347,2,3)+0)</f>
        <v>bc357-bc150</v>
      </c>
      <c r="E347" s="46" t="str">
        <f aca="true">OFFSET(plates!$B$34,CODE(LEFT(B347,1))-64,MID(B347,2,3)+0)&amp;""</f>
        <v/>
      </c>
      <c r="F347" s="46"/>
      <c r="G347" s="47"/>
      <c r="H347" s="47"/>
    </row>
    <row r="348" customFormat="false" ht="12.8" hidden="false" customHeight="false" outlineLevel="0" collapsed="false">
      <c r="A348" s="44" t="n">
        <v>4</v>
      </c>
      <c r="B348" s="44" t="s">
        <v>216</v>
      </c>
      <c r="C348" s="44" t="s">
        <v>158</v>
      </c>
      <c r="D348" s="45" t="str">
        <f aca="true">OFFSET(plates!$B$34,CODE(LEFT(B348,1))-64,-1)&amp;"-"&amp;OFFSET(plates!$B$4,-1,MID(B348,2,3)+0)</f>
        <v>bc361-bc150</v>
      </c>
      <c r="E348" s="46" t="str">
        <f aca="true">OFFSET(plates!$B$34,CODE(LEFT(B348,1))-64,MID(B348,2,3)+0)&amp;""</f>
        <v/>
      </c>
      <c r="F348" s="46"/>
      <c r="G348" s="47"/>
      <c r="H348" s="47"/>
    </row>
    <row r="349" customFormat="false" ht="12.8" hidden="false" customHeight="false" outlineLevel="0" collapsed="false">
      <c r="A349" s="44" t="n">
        <v>4</v>
      </c>
      <c r="B349" s="44" t="s">
        <v>217</v>
      </c>
      <c r="C349" s="44" t="s">
        <v>158</v>
      </c>
      <c r="D349" s="45" t="str">
        <f aca="true">OFFSET(plates!$B$34,CODE(LEFT(B349,1))-64,-1)&amp;"-"&amp;OFFSET(plates!$B$4,-1,MID(B349,2,3)+0)</f>
        <v>bc362-bc150</v>
      </c>
      <c r="E349" s="46" t="str">
        <f aca="true">OFFSET(plates!$B$34,CODE(LEFT(B349,1))-64,MID(B349,2,3)+0)&amp;""</f>
        <v/>
      </c>
      <c r="F349" s="46"/>
      <c r="G349" s="47"/>
      <c r="H349" s="47"/>
    </row>
    <row r="350" customFormat="false" ht="12.8" hidden="false" customHeight="false" outlineLevel="0" collapsed="false">
      <c r="A350" s="44" t="n">
        <v>4</v>
      </c>
      <c r="B350" s="44" t="s">
        <v>218</v>
      </c>
      <c r="C350" s="44" t="s">
        <v>158</v>
      </c>
      <c r="D350" s="45" t="str">
        <f aca="true">OFFSET(plates!$B$34,CODE(LEFT(B350,1))-64,-1)&amp;"-"&amp;OFFSET(plates!$B$4,-1,MID(B350,2,3)+0)</f>
        <v>bc368-bc150</v>
      </c>
      <c r="E350" s="46" t="str">
        <f aca="true">OFFSET(plates!$B$34,CODE(LEFT(B350,1))-64,MID(B350,2,3)+0)&amp;""</f>
        <v/>
      </c>
      <c r="F350" s="46"/>
      <c r="G350" s="47"/>
      <c r="H350" s="47"/>
    </row>
    <row r="351" customFormat="false" ht="12.8" hidden="false" customHeight="false" outlineLevel="0" collapsed="false">
      <c r="A351" s="44" t="n">
        <v>4</v>
      </c>
      <c r="B351" s="44" t="s">
        <v>219</v>
      </c>
      <c r="C351" s="44" t="s">
        <v>158</v>
      </c>
      <c r="D351" s="45" t="str">
        <f aca="true">OFFSET(plates!$B$34,CODE(LEFT(B351,1))-64,-1)&amp;"-"&amp;OFFSET(plates!$B$4,-1,MID(B351,2,3)+0)</f>
        <v>bc370-bc150</v>
      </c>
      <c r="E351" s="46" t="str">
        <f aca="true">OFFSET(plates!$B$34,CODE(LEFT(B351,1))-64,MID(B351,2,3)+0)&amp;""</f>
        <v/>
      </c>
      <c r="F351" s="46"/>
      <c r="G351" s="47"/>
      <c r="H351" s="47"/>
    </row>
    <row r="352" customFormat="false" ht="12.8" hidden="false" customHeight="false" outlineLevel="0" collapsed="false">
      <c r="A352" s="44" t="n">
        <v>4</v>
      </c>
      <c r="B352" s="44" t="s">
        <v>220</v>
      </c>
      <c r="C352" s="44" t="s">
        <v>158</v>
      </c>
      <c r="D352" s="45" t="str">
        <f aca="true">OFFSET(plates!$B$34,CODE(LEFT(B352,1))-64,-1)&amp;"-"&amp;OFFSET(plates!$B$4,-1,MID(B352,2,3)+0)</f>
        <v>bc377-bc150</v>
      </c>
      <c r="E352" s="46" t="str">
        <f aca="true">OFFSET(plates!$B$34,CODE(LEFT(B352,1))-64,MID(B352,2,3)+0)&amp;""</f>
        <v/>
      </c>
      <c r="F352" s="46"/>
      <c r="G352" s="47"/>
      <c r="H352" s="47"/>
    </row>
    <row r="353" customFormat="false" ht="12.8" hidden="false" customHeight="false" outlineLevel="0" collapsed="false">
      <c r="A353" s="44" t="n">
        <v>4</v>
      </c>
      <c r="B353" s="44" t="s">
        <v>221</v>
      </c>
      <c r="C353" s="44" t="s">
        <v>158</v>
      </c>
      <c r="D353" s="45" t="str">
        <f aca="true">OFFSET(plates!$B$34,CODE(LEFT(B353,1))-64,-1)&amp;"-"&amp;OFFSET(plates!$B$4,-1,MID(B353,2,3)+0)</f>
        <v>bc406-bc150</v>
      </c>
      <c r="E353" s="46" t="str">
        <f aca="true">OFFSET(plates!$B$34,CODE(LEFT(B353,1))-64,MID(B353,2,3)+0)&amp;""</f>
        <v/>
      </c>
      <c r="F353" s="46"/>
      <c r="G353" s="47"/>
      <c r="H353" s="47"/>
    </row>
    <row r="354" customFormat="false" ht="12.8" hidden="false" customHeight="false" outlineLevel="0" collapsed="false">
      <c r="A354" s="44" t="n">
        <v>4</v>
      </c>
      <c r="B354" s="44" t="s">
        <v>222</v>
      </c>
      <c r="C354" s="44" t="s">
        <v>158</v>
      </c>
      <c r="D354" s="45" t="str">
        <f aca="true">OFFSET(plates!$B$34,CODE(LEFT(B354,1))-64,-1)&amp;"-"&amp;OFFSET(plates!$B$4,-1,MID(B354,2,3)+0)</f>
        <v>bc327-bc183</v>
      </c>
      <c r="E354" s="46" t="str">
        <f aca="true">OFFSET(plates!$B$34,CODE(LEFT(B354,1))-64,MID(B354,2,3)+0)&amp;""</f>
        <v/>
      </c>
      <c r="F354" s="46"/>
      <c r="G354" s="47"/>
      <c r="H354" s="47"/>
    </row>
    <row r="355" customFormat="false" ht="12.8" hidden="false" customHeight="false" outlineLevel="0" collapsed="false">
      <c r="A355" s="44" t="n">
        <v>4</v>
      </c>
      <c r="B355" s="44" t="s">
        <v>223</v>
      </c>
      <c r="C355" s="44" t="s">
        <v>158</v>
      </c>
      <c r="D355" s="45" t="str">
        <f aca="true">OFFSET(plates!$B$34,CODE(LEFT(B355,1))-64,-1)&amp;"-"&amp;OFFSET(plates!$B$4,-1,MID(B355,2,3)+0)</f>
        <v>bc357-bc183</v>
      </c>
      <c r="E355" s="46" t="str">
        <f aca="true">OFFSET(plates!$B$34,CODE(LEFT(B355,1))-64,MID(B355,2,3)+0)&amp;""</f>
        <v/>
      </c>
      <c r="F355" s="46"/>
      <c r="G355" s="47"/>
      <c r="H355" s="47"/>
    </row>
    <row r="356" customFormat="false" ht="12.8" hidden="false" customHeight="false" outlineLevel="0" collapsed="false">
      <c r="A356" s="44" t="n">
        <v>4</v>
      </c>
      <c r="B356" s="44" t="s">
        <v>224</v>
      </c>
      <c r="C356" s="44" t="s">
        <v>158</v>
      </c>
      <c r="D356" s="45" t="str">
        <f aca="true">OFFSET(plates!$B$34,CODE(LEFT(B356,1))-64,-1)&amp;"-"&amp;OFFSET(plates!$B$4,-1,MID(B356,2,3)+0)</f>
        <v>bc361-bc183</v>
      </c>
      <c r="E356" s="46" t="str">
        <f aca="true">OFFSET(plates!$B$34,CODE(LEFT(B356,1))-64,MID(B356,2,3)+0)&amp;""</f>
        <v/>
      </c>
      <c r="F356" s="46"/>
      <c r="G356" s="47"/>
      <c r="H356" s="47"/>
    </row>
    <row r="357" customFormat="false" ht="12.8" hidden="false" customHeight="false" outlineLevel="0" collapsed="false">
      <c r="A357" s="44" t="n">
        <v>4</v>
      </c>
      <c r="B357" s="44" t="s">
        <v>225</v>
      </c>
      <c r="C357" s="44" t="s">
        <v>158</v>
      </c>
      <c r="D357" s="45" t="str">
        <f aca="true">OFFSET(plates!$B$34,CODE(LEFT(B357,1))-64,-1)&amp;"-"&amp;OFFSET(plates!$B$4,-1,MID(B357,2,3)+0)</f>
        <v>bc362-bc183</v>
      </c>
      <c r="E357" s="46" t="str">
        <f aca="true">OFFSET(plates!$B$34,CODE(LEFT(B357,1))-64,MID(B357,2,3)+0)&amp;""</f>
        <v/>
      </c>
      <c r="F357" s="46"/>
      <c r="G357" s="47"/>
      <c r="H357" s="47"/>
    </row>
    <row r="358" customFormat="false" ht="12.8" hidden="false" customHeight="false" outlineLevel="0" collapsed="false">
      <c r="A358" s="44" t="n">
        <v>4</v>
      </c>
      <c r="B358" s="44" t="s">
        <v>226</v>
      </c>
      <c r="C358" s="44" t="s">
        <v>158</v>
      </c>
      <c r="D358" s="45" t="str">
        <f aca="true">OFFSET(plates!$B$34,CODE(LEFT(B358,1))-64,-1)&amp;"-"&amp;OFFSET(plates!$B$4,-1,MID(B358,2,3)+0)</f>
        <v>bc368-bc183</v>
      </c>
      <c r="E358" s="46" t="str">
        <f aca="true">OFFSET(plates!$B$34,CODE(LEFT(B358,1))-64,MID(B358,2,3)+0)&amp;""</f>
        <v/>
      </c>
      <c r="F358" s="46"/>
      <c r="G358" s="47"/>
      <c r="H358" s="47"/>
    </row>
    <row r="359" customFormat="false" ht="12.8" hidden="false" customHeight="false" outlineLevel="0" collapsed="false">
      <c r="A359" s="44" t="n">
        <v>4</v>
      </c>
      <c r="B359" s="44" t="s">
        <v>227</v>
      </c>
      <c r="C359" s="44" t="s">
        <v>158</v>
      </c>
      <c r="D359" s="45" t="str">
        <f aca="true">OFFSET(plates!$B$34,CODE(LEFT(B359,1))-64,-1)&amp;"-"&amp;OFFSET(plates!$B$4,-1,MID(B359,2,3)+0)</f>
        <v>bc370-bc183</v>
      </c>
      <c r="E359" s="46" t="str">
        <f aca="true">OFFSET(plates!$B$34,CODE(LEFT(B359,1))-64,MID(B359,2,3)+0)&amp;""</f>
        <v/>
      </c>
      <c r="F359" s="46"/>
      <c r="G359" s="47"/>
      <c r="H359" s="47"/>
    </row>
    <row r="360" customFormat="false" ht="12.8" hidden="false" customHeight="false" outlineLevel="0" collapsed="false">
      <c r="A360" s="44" t="n">
        <v>4</v>
      </c>
      <c r="B360" s="44" t="s">
        <v>228</v>
      </c>
      <c r="C360" s="44" t="s">
        <v>158</v>
      </c>
      <c r="D360" s="45" t="str">
        <f aca="true">OFFSET(plates!$B$34,CODE(LEFT(B360,1))-64,-1)&amp;"-"&amp;OFFSET(plates!$B$4,-1,MID(B360,2,3)+0)</f>
        <v>bc377-bc183</v>
      </c>
      <c r="E360" s="46" t="str">
        <f aca="true">OFFSET(plates!$B$34,CODE(LEFT(B360,1))-64,MID(B360,2,3)+0)&amp;""</f>
        <v/>
      </c>
      <c r="F360" s="46"/>
      <c r="G360" s="47"/>
      <c r="H360" s="47"/>
    </row>
    <row r="361" customFormat="false" ht="12.8" hidden="false" customHeight="false" outlineLevel="0" collapsed="false">
      <c r="A361" s="44" t="n">
        <v>4</v>
      </c>
      <c r="B361" s="44" t="s">
        <v>229</v>
      </c>
      <c r="C361" s="44" t="s">
        <v>158</v>
      </c>
      <c r="D361" s="45" t="str">
        <f aca="true">OFFSET(plates!$B$34,CODE(LEFT(B361,1))-64,-1)&amp;"-"&amp;OFFSET(plates!$B$4,-1,MID(B361,2,3)+0)</f>
        <v>bc406-bc183</v>
      </c>
      <c r="E361" s="46" t="str">
        <f aca="true">OFFSET(plates!$B$34,CODE(LEFT(B361,1))-64,MID(B361,2,3)+0)&amp;""</f>
        <v/>
      </c>
      <c r="F361" s="46"/>
      <c r="G361" s="47"/>
      <c r="H361" s="47"/>
    </row>
    <row r="362" customFormat="false" ht="12.8" hidden="false" customHeight="false" outlineLevel="0" collapsed="false">
      <c r="A362" s="44" t="n">
        <v>4</v>
      </c>
      <c r="B362" s="44" t="s">
        <v>230</v>
      </c>
      <c r="C362" s="44" t="s">
        <v>158</v>
      </c>
      <c r="D362" s="45" t="str">
        <f aca="true">OFFSET(plates!$B$34,CODE(LEFT(B362,1))-64,-1)&amp;"-"&amp;OFFSET(plates!$B$4,-1,MID(B362,2,3)+0)</f>
        <v>bc327-bc218</v>
      </c>
      <c r="E362" s="46" t="str">
        <f aca="true">OFFSET(plates!$B$34,CODE(LEFT(B362,1))-64,MID(B362,2,3)+0)&amp;""</f>
        <v/>
      </c>
      <c r="F362" s="46"/>
      <c r="G362" s="47"/>
      <c r="H362" s="47"/>
    </row>
    <row r="363" customFormat="false" ht="12.8" hidden="false" customHeight="false" outlineLevel="0" collapsed="false">
      <c r="A363" s="44" t="n">
        <v>4</v>
      </c>
      <c r="B363" s="44" t="s">
        <v>231</v>
      </c>
      <c r="C363" s="44" t="s">
        <v>158</v>
      </c>
      <c r="D363" s="45" t="str">
        <f aca="true">OFFSET(plates!$B$34,CODE(LEFT(B363,1))-64,-1)&amp;"-"&amp;OFFSET(plates!$B$4,-1,MID(B363,2,3)+0)</f>
        <v>bc357-bc218</v>
      </c>
      <c r="E363" s="46" t="str">
        <f aca="true">OFFSET(plates!$B$34,CODE(LEFT(B363,1))-64,MID(B363,2,3)+0)&amp;""</f>
        <v/>
      </c>
      <c r="F363" s="46"/>
      <c r="G363" s="47"/>
      <c r="H363" s="47"/>
    </row>
    <row r="364" customFormat="false" ht="12.8" hidden="false" customHeight="false" outlineLevel="0" collapsed="false">
      <c r="A364" s="44" t="n">
        <v>4</v>
      </c>
      <c r="B364" s="44" t="s">
        <v>232</v>
      </c>
      <c r="C364" s="44" t="s">
        <v>158</v>
      </c>
      <c r="D364" s="45" t="str">
        <f aca="true">OFFSET(plates!$B$34,CODE(LEFT(B364,1))-64,-1)&amp;"-"&amp;OFFSET(plates!$B$4,-1,MID(B364,2,3)+0)</f>
        <v>bc361-bc218</v>
      </c>
      <c r="E364" s="46" t="str">
        <f aca="true">OFFSET(plates!$B$34,CODE(LEFT(B364,1))-64,MID(B364,2,3)+0)&amp;""</f>
        <v/>
      </c>
      <c r="F364" s="46"/>
      <c r="G364" s="47"/>
      <c r="H364" s="47"/>
    </row>
    <row r="365" s="48" customFormat="true" ht="12.8" hidden="false" customHeight="false" outlineLevel="0" collapsed="false">
      <c r="A365" s="44" t="n">
        <v>4</v>
      </c>
      <c r="B365" s="44" t="s">
        <v>233</v>
      </c>
      <c r="C365" s="44" t="s">
        <v>158</v>
      </c>
      <c r="D365" s="45" t="str">
        <f aca="true">OFFSET(plates!$B$34,CODE(LEFT(B365,1))-64,-1)&amp;"-"&amp;OFFSET(plates!$B$4,-1,MID(B365,2,3)+0)</f>
        <v>bc362-bc218</v>
      </c>
      <c r="E365" s="46" t="str">
        <f aca="true">OFFSET(plates!$B$34,CODE(LEFT(B365,1))-64,MID(B365,2,3)+0)&amp;""</f>
        <v/>
      </c>
      <c r="F365" s="46"/>
      <c r="G365" s="47"/>
      <c r="H365" s="47"/>
      <c r="I365" s="36"/>
      <c r="J365" s="36"/>
      <c r="K365" s="36"/>
      <c r="L365" s="36"/>
      <c r="M365" s="36"/>
    </row>
    <row r="366" customFormat="false" ht="12.8" hidden="false" customHeight="false" outlineLevel="0" collapsed="false">
      <c r="A366" s="44" t="n">
        <v>4</v>
      </c>
      <c r="B366" s="44" t="s">
        <v>234</v>
      </c>
      <c r="C366" s="44" t="s">
        <v>158</v>
      </c>
      <c r="D366" s="45" t="str">
        <f aca="true">OFFSET(plates!$B$34,CODE(LEFT(B366,1))-64,-1)&amp;"-"&amp;OFFSET(plates!$B$4,-1,MID(B366,2,3)+0)</f>
        <v>bc368-bc218</v>
      </c>
      <c r="E366" s="46" t="str">
        <f aca="true">OFFSET(plates!$B$34,CODE(LEFT(B366,1))-64,MID(B366,2,3)+0)&amp;""</f>
        <v/>
      </c>
      <c r="F366" s="46"/>
      <c r="G366" s="47"/>
      <c r="H366" s="47"/>
    </row>
    <row r="367" customFormat="false" ht="12.8" hidden="false" customHeight="false" outlineLevel="0" collapsed="false">
      <c r="A367" s="44" t="n">
        <v>4</v>
      </c>
      <c r="B367" s="44" t="s">
        <v>235</v>
      </c>
      <c r="C367" s="44" t="s">
        <v>158</v>
      </c>
      <c r="D367" s="45" t="str">
        <f aca="true">OFFSET(plates!$B$34,CODE(LEFT(B367,1))-64,-1)&amp;"-"&amp;OFFSET(plates!$B$4,-1,MID(B367,2,3)+0)</f>
        <v>bc370-bc218</v>
      </c>
      <c r="E367" s="46" t="str">
        <f aca="true">OFFSET(plates!$B$34,CODE(LEFT(B367,1))-64,MID(B367,2,3)+0)&amp;""</f>
        <v/>
      </c>
      <c r="F367" s="46"/>
      <c r="G367" s="47"/>
      <c r="H367" s="47"/>
    </row>
    <row r="368" customFormat="false" ht="12.8" hidden="false" customHeight="false" outlineLevel="0" collapsed="false">
      <c r="A368" s="44" t="n">
        <v>4</v>
      </c>
      <c r="B368" s="44" t="s">
        <v>236</v>
      </c>
      <c r="C368" s="44" t="s">
        <v>158</v>
      </c>
      <c r="D368" s="45" t="str">
        <f aca="true">OFFSET(plates!$B$34,CODE(LEFT(B368,1))-64,-1)&amp;"-"&amp;OFFSET(plates!$B$4,-1,MID(B368,2,3)+0)</f>
        <v>bc377-bc218</v>
      </c>
      <c r="E368" s="46" t="str">
        <f aca="true">OFFSET(plates!$B$34,CODE(LEFT(B368,1))-64,MID(B368,2,3)+0)&amp;""</f>
        <v/>
      </c>
      <c r="F368" s="46"/>
      <c r="G368" s="47"/>
      <c r="H368" s="47"/>
    </row>
    <row r="369" customFormat="false" ht="12.8" hidden="false" customHeight="false" outlineLevel="0" collapsed="false">
      <c r="A369" s="44" t="n">
        <v>4</v>
      </c>
      <c r="B369" s="44" t="s">
        <v>237</v>
      </c>
      <c r="C369" s="44" t="s">
        <v>158</v>
      </c>
      <c r="D369" s="45" t="str">
        <f aca="true">OFFSET(plates!$B$34,CODE(LEFT(B369,1))-64,-1)&amp;"-"&amp;OFFSET(plates!$B$4,-1,MID(B369,2,3)+0)</f>
        <v>bc406-bc218</v>
      </c>
      <c r="E369" s="46" t="str">
        <f aca="true">OFFSET(plates!$B$34,CODE(LEFT(B369,1))-64,MID(B369,2,3)+0)&amp;""</f>
        <v/>
      </c>
      <c r="F369" s="46"/>
      <c r="G369" s="47"/>
      <c r="H369" s="47"/>
    </row>
    <row r="370" customFormat="false" ht="12.8" hidden="false" customHeight="false" outlineLevel="0" collapsed="false">
      <c r="A370" s="44" t="n">
        <v>4</v>
      </c>
      <c r="B370" s="44" t="s">
        <v>238</v>
      </c>
      <c r="C370" s="44" t="s">
        <v>158</v>
      </c>
      <c r="D370" s="45" t="str">
        <f aca="true">OFFSET(plates!$B$34,CODE(LEFT(B370,1))-64,-1)&amp;"-"&amp;OFFSET(plates!$B$4,-1,MID(B370,2,3)+0)</f>
        <v>bc327-bc219</v>
      </c>
      <c r="E370" s="46" t="str">
        <f aca="true">OFFSET(plates!$B$34,CODE(LEFT(B370,1))-64,MID(B370,2,3)+0)&amp;""</f>
        <v/>
      </c>
      <c r="F370" s="46"/>
      <c r="G370" s="47"/>
      <c r="H370" s="47"/>
    </row>
    <row r="371" customFormat="false" ht="12.8" hidden="false" customHeight="false" outlineLevel="0" collapsed="false">
      <c r="A371" s="44" t="n">
        <v>4</v>
      </c>
      <c r="B371" s="44" t="s">
        <v>239</v>
      </c>
      <c r="C371" s="44" t="s">
        <v>158</v>
      </c>
      <c r="D371" s="45" t="str">
        <f aca="true">OFFSET(plates!$B$34,CODE(LEFT(B371,1))-64,-1)&amp;"-"&amp;OFFSET(plates!$B$4,-1,MID(B371,2,3)+0)</f>
        <v>bc357-bc219</v>
      </c>
      <c r="E371" s="46" t="str">
        <f aca="true">OFFSET(plates!$B$34,CODE(LEFT(B371,1))-64,MID(B371,2,3)+0)&amp;""</f>
        <v/>
      </c>
      <c r="F371" s="46"/>
      <c r="G371" s="47"/>
      <c r="H371" s="47"/>
    </row>
    <row r="372" customFormat="false" ht="12.8" hidden="false" customHeight="false" outlineLevel="0" collapsed="false">
      <c r="A372" s="44" t="n">
        <v>4</v>
      </c>
      <c r="B372" s="44" t="s">
        <v>240</v>
      </c>
      <c r="C372" s="44" t="s">
        <v>158</v>
      </c>
      <c r="D372" s="45" t="str">
        <f aca="true">OFFSET(plates!$B$34,CODE(LEFT(B372,1))-64,-1)&amp;"-"&amp;OFFSET(plates!$B$4,-1,MID(B372,2,3)+0)</f>
        <v>bc361-bc219</v>
      </c>
      <c r="E372" s="46" t="str">
        <f aca="true">OFFSET(plates!$B$34,CODE(LEFT(B372,1))-64,MID(B372,2,3)+0)&amp;""</f>
        <v/>
      </c>
      <c r="F372" s="46"/>
      <c r="G372" s="47"/>
      <c r="H372" s="47"/>
    </row>
    <row r="373" customFormat="false" ht="12.8" hidden="false" customHeight="false" outlineLevel="0" collapsed="false">
      <c r="A373" s="44" t="n">
        <v>4</v>
      </c>
      <c r="B373" s="44" t="s">
        <v>241</v>
      </c>
      <c r="C373" s="44" t="s">
        <v>158</v>
      </c>
      <c r="D373" s="45" t="str">
        <f aca="true">OFFSET(plates!$B$34,CODE(LEFT(B373,1))-64,-1)&amp;"-"&amp;OFFSET(plates!$B$4,-1,MID(B373,2,3)+0)</f>
        <v>bc362-bc219</v>
      </c>
      <c r="E373" s="46" t="str">
        <f aca="true">OFFSET(plates!$B$34,CODE(LEFT(B373,1))-64,MID(B373,2,3)+0)&amp;""</f>
        <v/>
      </c>
      <c r="F373" s="46"/>
      <c r="G373" s="47"/>
      <c r="H373" s="47"/>
    </row>
    <row r="374" customFormat="false" ht="12.8" hidden="false" customHeight="false" outlineLevel="0" collapsed="false">
      <c r="A374" s="44" t="n">
        <v>4</v>
      </c>
      <c r="B374" s="44" t="s">
        <v>242</v>
      </c>
      <c r="C374" s="44" t="s">
        <v>158</v>
      </c>
      <c r="D374" s="45" t="str">
        <f aca="true">OFFSET(plates!$B$34,CODE(LEFT(B374,1))-64,-1)&amp;"-"&amp;OFFSET(plates!$B$4,-1,MID(B374,2,3)+0)</f>
        <v>bc368-bc219</v>
      </c>
      <c r="E374" s="46" t="str">
        <f aca="true">OFFSET(plates!$B$34,CODE(LEFT(B374,1))-64,MID(B374,2,3)+0)&amp;""</f>
        <v/>
      </c>
      <c r="F374" s="46"/>
      <c r="G374" s="47"/>
      <c r="H374" s="47"/>
    </row>
    <row r="375" customFormat="false" ht="12.8" hidden="false" customHeight="false" outlineLevel="0" collapsed="false">
      <c r="A375" s="44" t="n">
        <v>4</v>
      </c>
      <c r="B375" s="44" t="s">
        <v>243</v>
      </c>
      <c r="C375" s="44" t="s">
        <v>158</v>
      </c>
      <c r="D375" s="45" t="str">
        <f aca="true">OFFSET(plates!$B$34,CODE(LEFT(B375,1))-64,-1)&amp;"-"&amp;OFFSET(plates!$B$4,-1,MID(B375,2,3)+0)</f>
        <v>bc370-bc219</v>
      </c>
      <c r="E375" s="46" t="str">
        <f aca="true">OFFSET(plates!$B$34,CODE(LEFT(B375,1))-64,MID(B375,2,3)+0)&amp;""</f>
        <v/>
      </c>
      <c r="F375" s="46"/>
      <c r="G375" s="47"/>
      <c r="H375" s="47"/>
    </row>
    <row r="376" customFormat="false" ht="12.8" hidden="false" customHeight="false" outlineLevel="0" collapsed="false">
      <c r="A376" s="44" t="n">
        <v>4</v>
      </c>
      <c r="B376" s="44" t="s">
        <v>244</v>
      </c>
      <c r="C376" s="44" t="s">
        <v>158</v>
      </c>
      <c r="D376" s="45" t="str">
        <f aca="true">OFFSET(plates!$B$34,CODE(LEFT(B376,1))-64,-1)&amp;"-"&amp;OFFSET(plates!$B$4,-1,MID(B376,2,3)+0)</f>
        <v>bc377-bc219</v>
      </c>
      <c r="E376" s="46" t="str">
        <f aca="true">OFFSET(plates!$B$34,CODE(LEFT(B376,1))-64,MID(B376,2,3)+0)&amp;""</f>
        <v/>
      </c>
      <c r="F376" s="46"/>
      <c r="G376" s="47"/>
      <c r="H376" s="47"/>
    </row>
    <row r="377" customFormat="false" ht="12.8" hidden="false" customHeight="false" outlineLevel="0" collapsed="false">
      <c r="A377" s="44" t="n">
        <v>4</v>
      </c>
      <c r="B377" s="44" t="s">
        <v>245</v>
      </c>
      <c r="C377" s="44" t="s">
        <v>158</v>
      </c>
      <c r="D377" s="45" t="str">
        <f aca="true">OFFSET(plates!$B$34,CODE(LEFT(B377,1))-64,-1)&amp;"-"&amp;OFFSET(plates!$B$4,-1,MID(B377,2,3)+0)</f>
        <v>bc406-bc219</v>
      </c>
      <c r="E377" s="46" t="str">
        <f aca="true">OFFSET(plates!$B$34,CODE(LEFT(B377,1))-64,MID(B377,2,3)+0)&amp;""</f>
        <v/>
      </c>
      <c r="F377" s="46"/>
      <c r="G377" s="47"/>
      <c r="H377" s="47"/>
    </row>
    <row r="378" customFormat="false" ht="12.8" hidden="false" customHeight="false" outlineLevel="0" collapsed="false">
      <c r="A378" s="44" t="n">
        <v>4</v>
      </c>
      <c r="B378" s="44" t="s">
        <v>246</v>
      </c>
      <c r="C378" s="44" t="s">
        <v>158</v>
      </c>
      <c r="D378" s="45" t="str">
        <f aca="true">OFFSET(plates!$B$34,CODE(LEFT(B378,1))-64,-1)&amp;"-"&amp;OFFSET(plates!$B$4,-1,MID(B378,2,3)+0)</f>
        <v>bc327-bc245</v>
      </c>
      <c r="E378" s="46" t="str">
        <f aca="true">OFFSET(plates!$B$34,CODE(LEFT(B378,1))-64,MID(B378,2,3)+0)&amp;""</f>
        <v/>
      </c>
      <c r="F378" s="46"/>
      <c r="G378" s="47"/>
      <c r="H378" s="47"/>
    </row>
    <row r="379" customFormat="false" ht="12.8" hidden="false" customHeight="false" outlineLevel="0" collapsed="false">
      <c r="A379" s="44" t="n">
        <v>4</v>
      </c>
      <c r="B379" s="44" t="s">
        <v>247</v>
      </c>
      <c r="C379" s="44" t="s">
        <v>158</v>
      </c>
      <c r="D379" s="45" t="str">
        <f aca="true">OFFSET(plates!$B$34,CODE(LEFT(B379,1))-64,-1)&amp;"-"&amp;OFFSET(plates!$B$4,-1,MID(B379,2,3)+0)</f>
        <v>bc357-bc245</v>
      </c>
      <c r="E379" s="46" t="str">
        <f aca="true">OFFSET(plates!$B$34,CODE(LEFT(B379,1))-64,MID(B379,2,3)+0)&amp;""</f>
        <v/>
      </c>
      <c r="F379" s="46"/>
      <c r="G379" s="47"/>
      <c r="H379" s="47"/>
    </row>
    <row r="380" customFormat="false" ht="12.8" hidden="false" customHeight="false" outlineLevel="0" collapsed="false">
      <c r="A380" s="44" t="n">
        <v>4</v>
      </c>
      <c r="B380" s="44" t="s">
        <v>248</v>
      </c>
      <c r="C380" s="44" t="s">
        <v>158</v>
      </c>
      <c r="D380" s="45" t="str">
        <f aca="true">OFFSET(plates!$B$34,CODE(LEFT(B380,1))-64,-1)&amp;"-"&amp;OFFSET(plates!$B$4,-1,MID(B380,2,3)+0)</f>
        <v>bc361-bc245</v>
      </c>
      <c r="E380" s="46" t="str">
        <f aca="true">OFFSET(plates!$B$34,CODE(LEFT(B380,1))-64,MID(B380,2,3)+0)&amp;""</f>
        <v/>
      </c>
      <c r="F380" s="46"/>
      <c r="G380" s="47"/>
      <c r="H380" s="47"/>
    </row>
    <row r="381" customFormat="false" ht="12.8" hidden="false" customHeight="false" outlineLevel="0" collapsed="false">
      <c r="A381" s="44" t="n">
        <v>4</v>
      </c>
      <c r="B381" s="44" t="s">
        <v>249</v>
      </c>
      <c r="C381" s="44" t="s">
        <v>158</v>
      </c>
      <c r="D381" s="45" t="str">
        <f aca="true">OFFSET(plates!$B$34,CODE(LEFT(B381,1))-64,-1)&amp;"-"&amp;OFFSET(plates!$B$4,-1,MID(B381,2,3)+0)</f>
        <v>bc362-bc245</v>
      </c>
      <c r="E381" s="46" t="str">
        <f aca="true">OFFSET(plates!$B$34,CODE(LEFT(B381,1))-64,MID(B381,2,3)+0)&amp;""</f>
        <v/>
      </c>
      <c r="F381" s="46"/>
      <c r="G381" s="47"/>
      <c r="H381" s="47"/>
    </row>
    <row r="382" customFormat="false" ht="12.8" hidden="false" customHeight="false" outlineLevel="0" collapsed="false">
      <c r="A382" s="44" t="n">
        <v>4</v>
      </c>
      <c r="B382" s="44" t="s">
        <v>250</v>
      </c>
      <c r="C382" s="44" t="s">
        <v>158</v>
      </c>
      <c r="D382" s="45" t="str">
        <f aca="true">OFFSET(plates!$B$34,CODE(LEFT(B382,1))-64,-1)&amp;"-"&amp;OFFSET(plates!$B$4,-1,MID(B382,2,3)+0)</f>
        <v>bc368-bc245</v>
      </c>
      <c r="E382" s="46" t="str">
        <f aca="true">OFFSET(plates!$B$34,CODE(LEFT(B382,1))-64,MID(B382,2,3)+0)&amp;""</f>
        <v/>
      </c>
      <c r="F382" s="46"/>
      <c r="G382" s="47"/>
      <c r="H382" s="47"/>
    </row>
    <row r="383" customFormat="false" ht="12.8" hidden="false" customHeight="false" outlineLevel="0" collapsed="false">
      <c r="A383" s="44" t="n">
        <v>4</v>
      </c>
      <c r="B383" s="44" t="s">
        <v>251</v>
      </c>
      <c r="C383" s="44" t="s">
        <v>158</v>
      </c>
      <c r="D383" s="45" t="str">
        <f aca="true">OFFSET(plates!$B$34,CODE(LEFT(B383,1))-64,-1)&amp;"-"&amp;OFFSET(plates!$B$4,-1,MID(B383,2,3)+0)</f>
        <v>bc370-bc245</v>
      </c>
      <c r="E383" s="46" t="str">
        <f aca="true">OFFSET(plates!$B$34,CODE(LEFT(B383,1))-64,MID(B383,2,3)+0)&amp;""</f>
        <v/>
      </c>
      <c r="F383" s="46"/>
      <c r="G383" s="47"/>
      <c r="H383" s="47"/>
      <c r="I383" s="36"/>
      <c r="J383" s="36"/>
      <c r="K383" s="36"/>
      <c r="L383" s="36"/>
      <c r="M383" s="36"/>
    </row>
    <row r="384" customFormat="false" ht="12.8" hidden="false" customHeight="false" outlineLevel="0" collapsed="false">
      <c r="A384" s="44" t="n">
        <v>4</v>
      </c>
      <c r="B384" s="44" t="s">
        <v>252</v>
      </c>
      <c r="C384" s="44" t="s">
        <v>158</v>
      </c>
      <c r="D384" s="45" t="str">
        <f aca="true">OFFSET(plates!$B$34,CODE(LEFT(B384,1))-64,-1)&amp;"-"&amp;OFFSET(plates!$B$4,-1,MID(B384,2,3)+0)</f>
        <v>bc377-bc245</v>
      </c>
      <c r="E384" s="46" t="str">
        <f aca="true">OFFSET(plates!$B$34,CODE(LEFT(B384,1))-64,MID(B384,2,3)+0)&amp;""</f>
        <v/>
      </c>
      <c r="F384" s="46"/>
      <c r="G384" s="47"/>
      <c r="H384" s="47"/>
    </row>
    <row r="385" customFormat="false" ht="12.8" hidden="false" customHeight="false" outlineLevel="0" collapsed="false">
      <c r="A385" s="44" t="n">
        <v>4</v>
      </c>
      <c r="B385" s="44" t="s">
        <v>253</v>
      </c>
      <c r="C385" s="44" t="s">
        <v>158</v>
      </c>
      <c r="D385" s="45" t="str">
        <f aca="true">OFFSET(plates!$B$34,CODE(LEFT(B385,1))-64,-1)&amp;"-"&amp;OFFSET(plates!$B$4,-1,MID(B385,2,3)+0)</f>
        <v>bc406-bc245</v>
      </c>
      <c r="E385" s="46" t="str">
        <f aca="true">OFFSET(plates!$B$34,CODE(LEFT(B385,1))-64,MID(B385,2,3)+0)&amp;""</f>
        <v/>
      </c>
      <c r="F385" s="46"/>
      <c r="G385" s="47"/>
      <c r="H385" s="47"/>
      <c r="I385" s="36"/>
      <c r="J385" s="36"/>
      <c r="K385" s="36"/>
    </row>
    <row r="386" customFormat="false" ht="12.8" hidden="false" customHeight="false" outlineLevel="0" collapsed="false">
      <c r="A386" s="44" t="n">
        <v>5</v>
      </c>
      <c r="B386" s="44" t="s">
        <v>157</v>
      </c>
      <c r="C386" s="44" t="s">
        <v>158</v>
      </c>
      <c r="D386" s="45" t="str">
        <f aca="true">OFFSET(plates!$B$44,CODE(LEFT(B386,1))-64,-1)&amp;"-"&amp;OFFSET(plates!$B$4,-1,MID(B386,2,3)+0)</f>
        <v>bc411-bc019</v>
      </c>
      <c r="E386" s="46" t="str">
        <f aca="true">OFFSET(plates!$B$44,CODE(LEFT(B386,1))-64,MID(B386,2,3)+0)&amp;""</f>
        <v/>
      </c>
      <c r="F386" s="46"/>
      <c r="G386" s="47"/>
      <c r="H386" s="47"/>
    </row>
    <row r="387" customFormat="false" ht="12.8" hidden="false" customHeight="false" outlineLevel="0" collapsed="false">
      <c r="A387" s="44" t="n">
        <v>5</v>
      </c>
      <c r="B387" s="44" t="s">
        <v>159</v>
      </c>
      <c r="C387" s="44" t="s">
        <v>158</v>
      </c>
      <c r="D387" s="45" t="str">
        <f aca="true">OFFSET(plates!$B$44,CODE(LEFT(B387,1))-64,-1)&amp;"-"&amp;OFFSET(plates!$B$4,-1,MID(B387,2,3)+0)</f>
        <v>bc418-bc019</v>
      </c>
      <c r="E387" s="46" t="str">
        <f aca="true">OFFSET(plates!$B$44,CODE(LEFT(B387,1))-64,MID(B387,2,3)+0)&amp;""</f>
        <v/>
      </c>
      <c r="F387" s="46"/>
      <c r="G387" s="47"/>
      <c r="H387" s="47"/>
    </row>
    <row r="388" customFormat="false" ht="12.8" hidden="false" customHeight="false" outlineLevel="0" collapsed="false">
      <c r="A388" s="44" t="n">
        <v>5</v>
      </c>
      <c r="B388" s="44" t="s">
        <v>160</v>
      </c>
      <c r="C388" s="44" t="s">
        <v>158</v>
      </c>
      <c r="D388" s="45" t="str">
        <f aca="true">OFFSET(plates!$B$44,CODE(LEFT(B388,1))-64,-1)&amp;"-"&amp;OFFSET(plates!$B$4,-1,MID(B388,2,3)+0)</f>
        <v>bc449-bc019</v>
      </c>
      <c r="E388" s="46" t="str">
        <f aca="true">OFFSET(plates!$B$44,CODE(LEFT(B388,1))-64,MID(B388,2,3)+0)&amp;""</f>
        <v/>
      </c>
      <c r="F388" s="46"/>
      <c r="G388" s="47"/>
      <c r="H388" s="47"/>
    </row>
    <row r="389" customFormat="false" ht="12.8" hidden="false" customHeight="false" outlineLevel="0" collapsed="false">
      <c r="A389" s="44" t="n">
        <v>5</v>
      </c>
      <c r="B389" s="44" t="s">
        <v>161</v>
      </c>
      <c r="C389" s="44" t="s">
        <v>158</v>
      </c>
      <c r="D389" s="45" t="str">
        <f aca="true">OFFSET(plates!$B$44,CODE(LEFT(B389,1))-64,-1)&amp;"-"&amp;OFFSET(plates!$B$4,-1,MID(B389,2,3)+0)</f>
        <v>bc462-bc019</v>
      </c>
      <c r="E389" s="46" t="str">
        <f aca="true">OFFSET(plates!$B$44,CODE(LEFT(B389,1))-64,MID(B389,2,3)+0)&amp;""</f>
        <v/>
      </c>
      <c r="F389" s="46"/>
      <c r="G389" s="47"/>
      <c r="H389" s="47"/>
    </row>
    <row r="390" customFormat="false" ht="12.8" hidden="false" customHeight="false" outlineLevel="0" collapsed="false">
      <c r="A390" s="44" t="n">
        <v>5</v>
      </c>
      <c r="B390" s="44" t="s">
        <v>162</v>
      </c>
      <c r="C390" s="44" t="s">
        <v>158</v>
      </c>
      <c r="D390" s="45" t="str">
        <f aca="true">OFFSET(plates!$B$44,CODE(LEFT(B390,1))-64,-1)&amp;"-"&amp;OFFSET(plates!$B$4,-1,MID(B390,2,3)+0)</f>
        <v>bc485-bc019</v>
      </c>
      <c r="E390" s="46" t="str">
        <f aca="true">OFFSET(plates!$B$44,CODE(LEFT(B390,1))-64,MID(B390,2,3)+0)&amp;""</f>
        <v/>
      </c>
      <c r="F390" s="46"/>
      <c r="G390" s="47"/>
      <c r="H390" s="47"/>
    </row>
    <row r="391" customFormat="false" ht="12.8" hidden="false" customHeight="false" outlineLevel="0" collapsed="false">
      <c r="A391" s="44" t="n">
        <v>5</v>
      </c>
      <c r="B391" s="44" t="s">
        <v>163</v>
      </c>
      <c r="C391" s="44" t="s">
        <v>158</v>
      </c>
      <c r="D391" s="45" t="str">
        <f aca="true">OFFSET(plates!$B$44,CODE(LEFT(B391,1))-64,-1)&amp;"-"&amp;OFFSET(plates!$B$4,-1,MID(B391,2,3)+0)</f>
        <v>bc486-bc019</v>
      </c>
      <c r="E391" s="46" t="str">
        <f aca="true">OFFSET(plates!$B$44,CODE(LEFT(B391,1))-64,MID(B391,2,3)+0)&amp;""</f>
        <v/>
      </c>
      <c r="F391" s="46"/>
      <c r="G391" s="47"/>
      <c r="H391" s="47"/>
    </row>
    <row r="392" customFormat="false" ht="12.8" hidden="false" customHeight="false" outlineLevel="0" collapsed="false">
      <c r="A392" s="44" t="n">
        <v>5</v>
      </c>
      <c r="B392" s="44" t="s">
        <v>164</v>
      </c>
      <c r="C392" s="44" t="s">
        <v>158</v>
      </c>
      <c r="D392" s="45" t="str">
        <f aca="true">OFFSET(plates!$B$44,CODE(LEFT(B392,1))-64,-1)&amp;"-"&amp;OFFSET(plates!$B$4,-1,MID(B392,2,3)+0)</f>
        <v>bc494-bc019</v>
      </c>
      <c r="E392" s="46" t="str">
        <f aca="true">OFFSET(plates!$B$44,CODE(LEFT(B392,1))-64,MID(B392,2,3)+0)&amp;""</f>
        <v/>
      </c>
      <c r="F392" s="46"/>
      <c r="G392" s="47"/>
      <c r="H392" s="47"/>
    </row>
    <row r="393" customFormat="false" ht="12.8" hidden="false" customHeight="false" outlineLevel="0" collapsed="false">
      <c r="A393" s="44" t="n">
        <v>5</v>
      </c>
      <c r="B393" s="44" t="s">
        <v>165</v>
      </c>
      <c r="C393" s="44" t="s">
        <v>158</v>
      </c>
      <c r="D393" s="45" t="str">
        <f aca="true">OFFSET(plates!$B$44,CODE(LEFT(B393,1))-64,-1)&amp;"-"&amp;OFFSET(plates!$B$4,-1,MID(B393,2,3)+0)</f>
        <v>bc538-bc019</v>
      </c>
      <c r="E393" s="46" t="str">
        <f aca="true">OFFSET(plates!$B$44,CODE(LEFT(B393,1))-64,MID(B393,2,3)+0)&amp;""</f>
        <v/>
      </c>
      <c r="F393" s="46"/>
      <c r="G393" s="47"/>
      <c r="H393" s="47"/>
    </row>
    <row r="394" customFormat="false" ht="12.8" hidden="false" customHeight="false" outlineLevel="0" collapsed="false">
      <c r="A394" s="44" t="n">
        <v>5</v>
      </c>
      <c r="B394" s="44" t="s">
        <v>166</v>
      </c>
      <c r="C394" s="44" t="s">
        <v>158</v>
      </c>
      <c r="D394" s="45" t="str">
        <f aca="true">OFFSET(plates!$B$44,CODE(LEFT(B394,1))-64,-1)&amp;"-"&amp;OFFSET(plates!$B$4,-1,MID(B394,2,3)+0)</f>
        <v>bc411-bc062</v>
      </c>
      <c r="E394" s="46" t="str">
        <f aca="true">OFFSET(plates!$B$44,CODE(LEFT(B394,1))-64,MID(B394,2,3)+0)&amp;""</f>
        <v/>
      </c>
      <c r="F394" s="46"/>
      <c r="G394" s="47"/>
      <c r="H394" s="47"/>
    </row>
    <row r="395" customFormat="false" ht="12.8" hidden="false" customHeight="false" outlineLevel="0" collapsed="false">
      <c r="A395" s="44" t="n">
        <v>5</v>
      </c>
      <c r="B395" s="44" t="s">
        <v>167</v>
      </c>
      <c r="C395" s="44" t="s">
        <v>158</v>
      </c>
      <c r="D395" s="45" t="str">
        <f aca="true">OFFSET(plates!$B$44,CODE(LEFT(B395,1))-64,-1)&amp;"-"&amp;OFFSET(plates!$B$4,-1,MID(B395,2,3)+0)</f>
        <v>bc418-bc062</v>
      </c>
      <c r="E395" s="46" t="str">
        <f aca="true">OFFSET(plates!$B$44,CODE(LEFT(B395,1))-64,MID(B395,2,3)+0)&amp;""</f>
        <v/>
      </c>
      <c r="F395" s="46"/>
      <c r="G395" s="47"/>
      <c r="H395" s="47"/>
    </row>
    <row r="396" customFormat="false" ht="12.8" hidden="false" customHeight="false" outlineLevel="0" collapsed="false">
      <c r="A396" s="44" t="n">
        <v>5</v>
      </c>
      <c r="B396" s="44" t="s">
        <v>168</v>
      </c>
      <c r="C396" s="44" t="s">
        <v>158</v>
      </c>
      <c r="D396" s="45" t="str">
        <f aca="true">OFFSET(plates!$B$44,CODE(LEFT(B396,1))-64,-1)&amp;"-"&amp;OFFSET(plates!$B$4,-1,MID(B396,2,3)+0)</f>
        <v>bc449-bc062</v>
      </c>
      <c r="E396" s="46" t="str">
        <f aca="true">OFFSET(plates!$B$44,CODE(LEFT(B396,1))-64,MID(B396,2,3)+0)&amp;""</f>
        <v/>
      </c>
      <c r="F396" s="46"/>
      <c r="G396" s="47"/>
      <c r="H396" s="47"/>
    </row>
    <row r="397" customFormat="false" ht="12.8" hidden="false" customHeight="false" outlineLevel="0" collapsed="false">
      <c r="A397" s="44" t="n">
        <v>5</v>
      </c>
      <c r="B397" s="44" t="s">
        <v>169</v>
      </c>
      <c r="C397" s="44" t="s">
        <v>158</v>
      </c>
      <c r="D397" s="45" t="str">
        <f aca="true">OFFSET(plates!$B$44,CODE(LEFT(B397,1))-64,-1)&amp;"-"&amp;OFFSET(plates!$B$4,-1,MID(B397,2,3)+0)</f>
        <v>bc462-bc062</v>
      </c>
      <c r="E397" s="46" t="str">
        <f aca="true">OFFSET(plates!$B$44,CODE(LEFT(B397,1))-64,MID(B397,2,3)+0)&amp;""</f>
        <v/>
      </c>
      <c r="F397" s="46"/>
      <c r="G397" s="47"/>
      <c r="H397" s="47"/>
    </row>
    <row r="398" customFormat="false" ht="12.8" hidden="false" customHeight="false" outlineLevel="0" collapsed="false">
      <c r="A398" s="44" t="n">
        <v>5</v>
      </c>
      <c r="B398" s="44" t="s">
        <v>170</v>
      </c>
      <c r="C398" s="44" t="s">
        <v>158</v>
      </c>
      <c r="D398" s="45" t="str">
        <f aca="true">OFFSET(plates!$B$44,CODE(LEFT(B398,1))-64,-1)&amp;"-"&amp;OFFSET(plates!$B$4,-1,MID(B398,2,3)+0)</f>
        <v>bc485-bc062</v>
      </c>
      <c r="E398" s="46" t="str">
        <f aca="true">OFFSET(plates!$B$44,CODE(LEFT(B398,1))-64,MID(B398,2,3)+0)&amp;""</f>
        <v/>
      </c>
      <c r="F398" s="46"/>
      <c r="G398" s="47"/>
      <c r="H398" s="47"/>
    </row>
    <row r="399" customFormat="false" ht="12.8" hidden="false" customHeight="false" outlineLevel="0" collapsed="false">
      <c r="A399" s="44" t="n">
        <v>5</v>
      </c>
      <c r="B399" s="44" t="s">
        <v>171</v>
      </c>
      <c r="C399" s="44" t="s">
        <v>158</v>
      </c>
      <c r="D399" s="45" t="str">
        <f aca="true">OFFSET(plates!$B$44,CODE(LEFT(B399,1))-64,-1)&amp;"-"&amp;OFFSET(plates!$B$4,-1,MID(B399,2,3)+0)</f>
        <v>bc486-bc062</v>
      </c>
      <c r="E399" s="46" t="str">
        <f aca="true">OFFSET(plates!$B$44,CODE(LEFT(B399,1))-64,MID(B399,2,3)+0)&amp;""</f>
        <v/>
      </c>
      <c r="F399" s="46"/>
      <c r="G399" s="47"/>
      <c r="H399" s="47"/>
    </row>
    <row r="400" customFormat="false" ht="12.8" hidden="false" customHeight="false" outlineLevel="0" collapsed="false">
      <c r="A400" s="44" t="n">
        <v>5</v>
      </c>
      <c r="B400" s="44" t="s">
        <v>172</v>
      </c>
      <c r="C400" s="44" t="s">
        <v>158</v>
      </c>
      <c r="D400" s="45" t="str">
        <f aca="true">OFFSET(plates!$B$44,CODE(LEFT(B400,1))-64,-1)&amp;"-"&amp;OFFSET(plates!$B$4,-1,MID(B400,2,3)+0)</f>
        <v>bc494-bc062</v>
      </c>
      <c r="E400" s="46" t="str">
        <f aca="true">OFFSET(plates!$B$44,CODE(LEFT(B400,1))-64,MID(B400,2,3)+0)&amp;""</f>
        <v/>
      </c>
      <c r="F400" s="46"/>
      <c r="G400" s="47"/>
      <c r="H400" s="47"/>
    </row>
    <row r="401" customFormat="false" ht="12.8" hidden="false" customHeight="false" outlineLevel="0" collapsed="false">
      <c r="A401" s="44" t="n">
        <v>5</v>
      </c>
      <c r="B401" s="44" t="s">
        <v>173</v>
      </c>
      <c r="C401" s="44" t="s">
        <v>158</v>
      </c>
      <c r="D401" s="45" t="str">
        <f aca="true">OFFSET(plates!$B$44,CODE(LEFT(B401,1))-64,-1)&amp;"-"&amp;OFFSET(plates!$B$4,-1,MID(B401,2,3)+0)</f>
        <v>bc538-bc062</v>
      </c>
      <c r="E401" s="46" t="str">
        <f aca="true">OFFSET(plates!$B$44,CODE(LEFT(B401,1))-64,MID(B401,2,3)+0)&amp;""</f>
        <v/>
      </c>
      <c r="F401" s="46"/>
      <c r="G401" s="47"/>
      <c r="H401" s="47"/>
    </row>
    <row r="402" customFormat="false" ht="12.8" hidden="false" customHeight="false" outlineLevel="0" collapsed="false">
      <c r="A402" s="44" t="n">
        <v>5</v>
      </c>
      <c r="B402" s="44" t="s">
        <v>174</v>
      </c>
      <c r="C402" s="44" t="s">
        <v>158</v>
      </c>
      <c r="D402" s="45" t="str">
        <f aca="true">OFFSET(plates!$B$44,CODE(LEFT(B402,1))-64,-1)&amp;"-"&amp;OFFSET(plates!$B$4,-1,MID(B402,2,3)+0)</f>
        <v>bc411-bc065</v>
      </c>
      <c r="E402" s="46" t="str">
        <f aca="true">OFFSET(plates!$B$44,CODE(LEFT(B402,1))-64,MID(B402,2,3)+0)&amp;""</f>
        <v/>
      </c>
      <c r="F402" s="46"/>
      <c r="G402" s="47"/>
      <c r="H402" s="47"/>
    </row>
    <row r="403" customFormat="false" ht="12.8" hidden="false" customHeight="false" outlineLevel="0" collapsed="false">
      <c r="A403" s="44" t="n">
        <v>5</v>
      </c>
      <c r="B403" s="44" t="s">
        <v>175</v>
      </c>
      <c r="C403" s="44" t="s">
        <v>158</v>
      </c>
      <c r="D403" s="45" t="str">
        <f aca="true">OFFSET(plates!$B$44,CODE(LEFT(B403,1))-64,-1)&amp;"-"&amp;OFFSET(plates!$B$4,-1,MID(B403,2,3)+0)</f>
        <v>bc418-bc065</v>
      </c>
      <c r="E403" s="46" t="str">
        <f aca="true">OFFSET(plates!$B$44,CODE(LEFT(B403,1))-64,MID(B403,2,3)+0)&amp;""</f>
        <v/>
      </c>
      <c r="F403" s="46"/>
      <c r="G403" s="47"/>
      <c r="H403" s="47"/>
    </row>
    <row r="404" customFormat="false" ht="12.8" hidden="false" customHeight="false" outlineLevel="0" collapsed="false">
      <c r="A404" s="44" t="n">
        <v>5</v>
      </c>
      <c r="B404" s="44" t="s">
        <v>176</v>
      </c>
      <c r="C404" s="44" t="s">
        <v>158</v>
      </c>
      <c r="D404" s="45" t="str">
        <f aca="true">OFFSET(plates!$B$44,CODE(LEFT(B404,1))-64,-1)&amp;"-"&amp;OFFSET(plates!$B$4,-1,MID(B404,2,3)+0)</f>
        <v>bc449-bc065</v>
      </c>
      <c r="E404" s="46" t="str">
        <f aca="true">OFFSET(plates!$B$44,CODE(LEFT(B404,1))-64,MID(B404,2,3)+0)&amp;""</f>
        <v/>
      </c>
      <c r="F404" s="46"/>
      <c r="G404" s="47"/>
      <c r="H404" s="47"/>
    </row>
    <row r="405" customFormat="false" ht="12.8" hidden="false" customHeight="false" outlineLevel="0" collapsed="false">
      <c r="A405" s="44" t="n">
        <v>5</v>
      </c>
      <c r="B405" s="44" t="s">
        <v>177</v>
      </c>
      <c r="C405" s="44" t="s">
        <v>158</v>
      </c>
      <c r="D405" s="45" t="str">
        <f aca="true">OFFSET(plates!$B$44,CODE(LEFT(B405,1))-64,-1)&amp;"-"&amp;OFFSET(plates!$B$4,-1,MID(B405,2,3)+0)</f>
        <v>bc462-bc065</v>
      </c>
      <c r="E405" s="46" t="str">
        <f aca="true">OFFSET(plates!$B$44,CODE(LEFT(B405,1))-64,MID(B405,2,3)+0)&amp;""</f>
        <v/>
      </c>
      <c r="F405" s="46"/>
      <c r="G405" s="47"/>
      <c r="H405" s="47"/>
    </row>
    <row r="406" customFormat="false" ht="12.8" hidden="false" customHeight="false" outlineLevel="0" collapsed="false">
      <c r="A406" s="44" t="n">
        <v>5</v>
      </c>
      <c r="B406" s="44" t="s">
        <v>178</v>
      </c>
      <c r="C406" s="44" t="s">
        <v>158</v>
      </c>
      <c r="D406" s="45" t="str">
        <f aca="true">OFFSET(plates!$B$44,CODE(LEFT(B406,1))-64,-1)&amp;"-"&amp;OFFSET(plates!$B$4,-1,MID(B406,2,3)+0)</f>
        <v>bc485-bc065</v>
      </c>
      <c r="E406" s="46" t="str">
        <f aca="true">OFFSET(plates!$B$44,CODE(LEFT(B406,1))-64,MID(B406,2,3)+0)&amp;""</f>
        <v/>
      </c>
      <c r="F406" s="46"/>
      <c r="G406" s="47"/>
      <c r="H406" s="47"/>
    </row>
    <row r="407" customFormat="false" ht="12.8" hidden="false" customHeight="false" outlineLevel="0" collapsed="false">
      <c r="A407" s="44" t="n">
        <v>5</v>
      </c>
      <c r="B407" s="44" t="s">
        <v>179</v>
      </c>
      <c r="C407" s="44" t="s">
        <v>158</v>
      </c>
      <c r="D407" s="45" t="str">
        <f aca="true">OFFSET(plates!$B$44,CODE(LEFT(B407,1))-64,-1)&amp;"-"&amp;OFFSET(plates!$B$4,-1,MID(B407,2,3)+0)</f>
        <v>bc486-bc065</v>
      </c>
      <c r="E407" s="46" t="str">
        <f aca="true">OFFSET(plates!$B$44,CODE(LEFT(B407,1))-64,MID(B407,2,3)+0)&amp;""</f>
        <v/>
      </c>
      <c r="F407" s="46"/>
      <c r="G407" s="47"/>
      <c r="H407" s="47"/>
    </row>
    <row r="408" customFormat="false" ht="12.8" hidden="false" customHeight="false" outlineLevel="0" collapsed="false">
      <c r="A408" s="44" t="n">
        <v>5</v>
      </c>
      <c r="B408" s="44" t="s">
        <v>180</v>
      </c>
      <c r="C408" s="44" t="s">
        <v>158</v>
      </c>
      <c r="D408" s="45" t="str">
        <f aca="true">OFFSET(plates!$B$44,CODE(LEFT(B408,1))-64,-1)&amp;"-"&amp;OFFSET(plates!$B$4,-1,MID(B408,2,3)+0)</f>
        <v>bc494-bc065</v>
      </c>
      <c r="E408" s="46" t="str">
        <f aca="true">OFFSET(plates!$B$44,CODE(LEFT(B408,1))-64,MID(B408,2,3)+0)&amp;""</f>
        <v/>
      </c>
      <c r="F408" s="46"/>
      <c r="G408" s="47"/>
      <c r="H408" s="47"/>
    </row>
    <row r="409" customFormat="false" ht="12.8" hidden="false" customHeight="false" outlineLevel="0" collapsed="false">
      <c r="A409" s="44" t="n">
        <v>5</v>
      </c>
      <c r="B409" s="44" t="s">
        <v>181</v>
      </c>
      <c r="C409" s="44" t="s">
        <v>158</v>
      </c>
      <c r="D409" s="45" t="str">
        <f aca="true">OFFSET(plates!$B$44,CODE(LEFT(B409,1))-64,-1)&amp;"-"&amp;OFFSET(plates!$B$4,-1,MID(B409,2,3)+0)</f>
        <v>bc538-bc065</v>
      </c>
      <c r="E409" s="46" t="str">
        <f aca="true">OFFSET(plates!$B$44,CODE(LEFT(B409,1))-64,MID(B409,2,3)+0)&amp;""</f>
        <v/>
      </c>
      <c r="F409" s="46"/>
      <c r="G409" s="47"/>
      <c r="H409" s="47"/>
    </row>
    <row r="410" customFormat="false" ht="12.8" hidden="false" customHeight="false" outlineLevel="0" collapsed="false">
      <c r="A410" s="44" t="n">
        <v>5</v>
      </c>
      <c r="B410" s="44" t="s">
        <v>182</v>
      </c>
      <c r="C410" s="44" t="s">
        <v>158</v>
      </c>
      <c r="D410" s="45" t="str">
        <f aca="true">OFFSET(plates!$B$44,CODE(LEFT(B410,1))-64,-1)&amp;"-"&amp;OFFSET(plates!$B$4,-1,MID(B410,2,3)+0)</f>
        <v>bc411-bc082</v>
      </c>
      <c r="E410" s="46" t="str">
        <f aca="true">OFFSET(plates!$B$44,CODE(LEFT(B410,1))-64,MID(B410,2,3)+0)&amp;""</f>
        <v/>
      </c>
      <c r="F410" s="46"/>
      <c r="G410" s="47"/>
      <c r="H410" s="47"/>
    </row>
    <row r="411" customFormat="false" ht="12.8" hidden="false" customHeight="false" outlineLevel="0" collapsed="false">
      <c r="A411" s="44" t="n">
        <v>5</v>
      </c>
      <c r="B411" s="44" t="s">
        <v>183</v>
      </c>
      <c r="C411" s="44" t="s">
        <v>158</v>
      </c>
      <c r="D411" s="45" t="str">
        <f aca="true">OFFSET(plates!$B$44,CODE(LEFT(B411,1))-64,-1)&amp;"-"&amp;OFFSET(plates!$B$4,-1,MID(B411,2,3)+0)</f>
        <v>bc418-bc082</v>
      </c>
      <c r="E411" s="46" t="str">
        <f aca="true">OFFSET(plates!$B$44,CODE(LEFT(B411,1))-64,MID(B411,2,3)+0)&amp;""</f>
        <v/>
      </c>
      <c r="F411" s="46"/>
      <c r="G411" s="47"/>
      <c r="H411" s="47"/>
    </row>
    <row r="412" customFormat="false" ht="12.8" hidden="false" customHeight="false" outlineLevel="0" collapsed="false">
      <c r="A412" s="44" t="n">
        <v>5</v>
      </c>
      <c r="B412" s="44" t="s">
        <v>184</v>
      </c>
      <c r="C412" s="44" t="s">
        <v>158</v>
      </c>
      <c r="D412" s="45" t="str">
        <f aca="true">OFFSET(plates!$B$44,CODE(LEFT(B412,1))-64,-1)&amp;"-"&amp;OFFSET(plates!$B$4,-1,MID(B412,2,3)+0)</f>
        <v>bc449-bc082</v>
      </c>
      <c r="E412" s="46" t="str">
        <f aca="true">OFFSET(plates!$B$44,CODE(LEFT(B412,1))-64,MID(B412,2,3)+0)&amp;""</f>
        <v/>
      </c>
      <c r="F412" s="46"/>
      <c r="G412" s="47"/>
      <c r="H412" s="47"/>
    </row>
    <row r="413" customFormat="false" ht="12.8" hidden="false" customHeight="false" outlineLevel="0" collapsed="false">
      <c r="A413" s="44" t="n">
        <v>5</v>
      </c>
      <c r="B413" s="44" t="s">
        <v>185</v>
      </c>
      <c r="C413" s="44" t="s">
        <v>158</v>
      </c>
      <c r="D413" s="45" t="str">
        <f aca="true">OFFSET(plates!$B$44,CODE(LEFT(B413,1))-64,-1)&amp;"-"&amp;OFFSET(plates!$B$4,-1,MID(B413,2,3)+0)</f>
        <v>bc462-bc082</v>
      </c>
      <c r="E413" s="46" t="str">
        <f aca="true">OFFSET(plates!$B$44,CODE(LEFT(B413,1))-64,MID(B413,2,3)+0)&amp;""</f>
        <v/>
      </c>
      <c r="F413" s="46"/>
      <c r="G413" s="47"/>
      <c r="H413" s="47"/>
    </row>
    <row r="414" customFormat="false" ht="12.8" hidden="false" customHeight="false" outlineLevel="0" collapsed="false">
      <c r="A414" s="44" t="n">
        <v>5</v>
      </c>
      <c r="B414" s="44" t="s">
        <v>186</v>
      </c>
      <c r="C414" s="44" t="s">
        <v>158</v>
      </c>
      <c r="D414" s="45" t="str">
        <f aca="true">OFFSET(plates!$B$44,CODE(LEFT(B414,1))-64,-1)&amp;"-"&amp;OFFSET(plates!$B$4,-1,MID(B414,2,3)+0)</f>
        <v>bc485-bc082</v>
      </c>
      <c r="E414" s="46" t="str">
        <f aca="true">OFFSET(plates!$B$44,CODE(LEFT(B414,1))-64,MID(B414,2,3)+0)&amp;""</f>
        <v/>
      </c>
      <c r="F414" s="46"/>
      <c r="G414" s="47"/>
      <c r="H414" s="47"/>
    </row>
    <row r="415" customFormat="false" ht="12.8" hidden="false" customHeight="false" outlineLevel="0" collapsed="false">
      <c r="A415" s="44" t="n">
        <v>5</v>
      </c>
      <c r="B415" s="44" t="s">
        <v>187</v>
      </c>
      <c r="C415" s="44" t="s">
        <v>158</v>
      </c>
      <c r="D415" s="45" t="str">
        <f aca="true">OFFSET(plates!$B$44,CODE(LEFT(B415,1))-64,-1)&amp;"-"&amp;OFFSET(plates!$B$4,-1,MID(B415,2,3)+0)</f>
        <v>bc486-bc082</v>
      </c>
      <c r="E415" s="46" t="str">
        <f aca="true">OFFSET(plates!$B$44,CODE(LEFT(B415,1))-64,MID(B415,2,3)+0)&amp;""</f>
        <v/>
      </c>
      <c r="F415" s="46"/>
      <c r="G415" s="47"/>
      <c r="H415" s="47"/>
    </row>
    <row r="416" customFormat="false" ht="12.8" hidden="false" customHeight="false" outlineLevel="0" collapsed="false">
      <c r="A416" s="44" t="n">
        <v>5</v>
      </c>
      <c r="B416" s="44" t="s">
        <v>188</v>
      </c>
      <c r="C416" s="44" t="s">
        <v>158</v>
      </c>
      <c r="D416" s="45" t="str">
        <f aca="true">OFFSET(plates!$B$44,CODE(LEFT(B416,1))-64,-1)&amp;"-"&amp;OFFSET(plates!$B$4,-1,MID(B416,2,3)+0)</f>
        <v>bc494-bc082</v>
      </c>
      <c r="E416" s="46" t="str">
        <f aca="true">OFFSET(plates!$B$44,CODE(LEFT(B416,1))-64,MID(B416,2,3)+0)&amp;""</f>
        <v/>
      </c>
      <c r="F416" s="46"/>
      <c r="G416" s="47"/>
      <c r="H416" s="47"/>
    </row>
    <row r="417" customFormat="false" ht="12.8" hidden="false" customHeight="false" outlineLevel="0" collapsed="false">
      <c r="A417" s="44" t="n">
        <v>5</v>
      </c>
      <c r="B417" s="44" t="s">
        <v>189</v>
      </c>
      <c r="C417" s="44" t="s">
        <v>158</v>
      </c>
      <c r="D417" s="45" t="str">
        <f aca="true">OFFSET(plates!$B$44,CODE(LEFT(B417,1))-64,-1)&amp;"-"&amp;OFFSET(plates!$B$4,-1,MID(B417,2,3)+0)</f>
        <v>bc538-bc082</v>
      </c>
      <c r="E417" s="46" t="str">
        <f aca="true">OFFSET(plates!$B$44,CODE(LEFT(B417,1))-64,MID(B417,2,3)+0)&amp;""</f>
        <v/>
      </c>
      <c r="F417" s="46"/>
      <c r="G417" s="47"/>
      <c r="H417" s="47"/>
    </row>
    <row r="418" customFormat="false" ht="12.8" hidden="false" customHeight="false" outlineLevel="0" collapsed="false">
      <c r="A418" s="44" t="n">
        <v>5</v>
      </c>
      <c r="B418" s="44" t="s">
        <v>190</v>
      </c>
      <c r="C418" s="44" t="s">
        <v>158</v>
      </c>
      <c r="D418" s="45" t="str">
        <f aca="true">OFFSET(plates!$B$44,CODE(LEFT(B418,1))-64,-1)&amp;"-"&amp;OFFSET(plates!$B$4,-1,MID(B418,2,3)+0)</f>
        <v>bc411-bc120</v>
      </c>
      <c r="E418" s="46" t="str">
        <f aca="true">OFFSET(plates!$B$44,CODE(LEFT(B418,1))-64,MID(B418,2,3)+0)&amp;""</f>
        <v/>
      </c>
      <c r="F418" s="46"/>
      <c r="G418" s="47"/>
      <c r="H418" s="47"/>
    </row>
    <row r="419" customFormat="false" ht="12.8" hidden="false" customHeight="false" outlineLevel="0" collapsed="false">
      <c r="A419" s="44" t="n">
        <v>5</v>
      </c>
      <c r="B419" s="44" t="s">
        <v>191</v>
      </c>
      <c r="C419" s="44" t="s">
        <v>158</v>
      </c>
      <c r="D419" s="45" t="str">
        <f aca="true">OFFSET(plates!$B$44,CODE(LEFT(B419,1))-64,-1)&amp;"-"&amp;OFFSET(plates!$B$4,-1,MID(B419,2,3)+0)</f>
        <v>bc418-bc120</v>
      </c>
      <c r="E419" s="46" t="str">
        <f aca="true">OFFSET(plates!$B$44,CODE(LEFT(B419,1))-64,MID(B419,2,3)+0)&amp;""</f>
        <v/>
      </c>
      <c r="F419" s="46"/>
      <c r="G419" s="47"/>
      <c r="H419" s="47"/>
    </row>
    <row r="420" customFormat="false" ht="12.8" hidden="false" customHeight="false" outlineLevel="0" collapsed="false">
      <c r="A420" s="44" t="n">
        <v>5</v>
      </c>
      <c r="B420" s="44" t="s">
        <v>192</v>
      </c>
      <c r="C420" s="44" t="s">
        <v>158</v>
      </c>
      <c r="D420" s="45" t="str">
        <f aca="true">OFFSET(plates!$B$44,CODE(LEFT(B420,1))-64,-1)&amp;"-"&amp;OFFSET(plates!$B$4,-1,MID(B420,2,3)+0)</f>
        <v>bc449-bc120</v>
      </c>
      <c r="E420" s="46" t="str">
        <f aca="true">OFFSET(plates!$B$44,CODE(LEFT(B420,1))-64,MID(B420,2,3)+0)&amp;""</f>
        <v/>
      </c>
      <c r="F420" s="46"/>
      <c r="G420" s="47"/>
      <c r="H420" s="47"/>
    </row>
    <row r="421" customFormat="false" ht="12.8" hidden="false" customHeight="false" outlineLevel="0" collapsed="false">
      <c r="A421" s="44" t="n">
        <v>5</v>
      </c>
      <c r="B421" s="44" t="s">
        <v>193</v>
      </c>
      <c r="C421" s="44" t="s">
        <v>158</v>
      </c>
      <c r="D421" s="45" t="str">
        <f aca="true">OFFSET(plates!$B$44,CODE(LEFT(B421,1))-64,-1)&amp;"-"&amp;OFFSET(plates!$B$4,-1,MID(B421,2,3)+0)</f>
        <v>bc462-bc120</v>
      </c>
      <c r="E421" s="46" t="str">
        <f aca="true">OFFSET(plates!$B$44,CODE(LEFT(B421,1))-64,MID(B421,2,3)+0)&amp;""</f>
        <v/>
      </c>
      <c r="F421" s="46"/>
      <c r="G421" s="47"/>
      <c r="H421" s="47"/>
    </row>
    <row r="422" customFormat="false" ht="12.8" hidden="false" customHeight="false" outlineLevel="0" collapsed="false">
      <c r="A422" s="44" t="n">
        <v>5</v>
      </c>
      <c r="B422" s="44" t="s">
        <v>194</v>
      </c>
      <c r="C422" s="44" t="s">
        <v>158</v>
      </c>
      <c r="D422" s="45" t="str">
        <f aca="true">OFFSET(plates!$B$44,CODE(LEFT(B422,1))-64,-1)&amp;"-"&amp;OFFSET(plates!$B$4,-1,MID(B422,2,3)+0)</f>
        <v>bc485-bc120</v>
      </c>
      <c r="E422" s="46" t="str">
        <f aca="true">OFFSET(plates!$B$44,CODE(LEFT(B422,1))-64,MID(B422,2,3)+0)&amp;""</f>
        <v/>
      </c>
      <c r="F422" s="46"/>
      <c r="G422" s="47"/>
      <c r="H422" s="47"/>
    </row>
    <row r="423" customFormat="false" ht="12.8" hidden="false" customHeight="false" outlineLevel="0" collapsed="false">
      <c r="A423" s="44" t="n">
        <v>5</v>
      </c>
      <c r="B423" s="44" t="s">
        <v>195</v>
      </c>
      <c r="C423" s="44" t="s">
        <v>158</v>
      </c>
      <c r="D423" s="45" t="str">
        <f aca="true">OFFSET(plates!$B$44,CODE(LEFT(B423,1))-64,-1)&amp;"-"&amp;OFFSET(plates!$B$4,-1,MID(B423,2,3)+0)</f>
        <v>bc486-bc120</v>
      </c>
      <c r="E423" s="46" t="str">
        <f aca="true">OFFSET(plates!$B$44,CODE(LEFT(B423,1))-64,MID(B423,2,3)+0)&amp;""</f>
        <v/>
      </c>
      <c r="F423" s="46"/>
      <c r="G423" s="47"/>
      <c r="H423" s="47"/>
    </row>
    <row r="424" customFormat="false" ht="12.8" hidden="false" customHeight="false" outlineLevel="0" collapsed="false">
      <c r="A424" s="44" t="n">
        <v>5</v>
      </c>
      <c r="B424" s="44" t="s">
        <v>196</v>
      </c>
      <c r="C424" s="44" t="s">
        <v>158</v>
      </c>
      <c r="D424" s="45" t="str">
        <f aca="true">OFFSET(plates!$B$44,CODE(LEFT(B424,1))-64,-1)&amp;"-"&amp;OFFSET(plates!$B$4,-1,MID(B424,2,3)+0)</f>
        <v>bc494-bc120</v>
      </c>
      <c r="E424" s="46" t="str">
        <f aca="true">OFFSET(plates!$B$44,CODE(LEFT(B424,1))-64,MID(B424,2,3)+0)&amp;""</f>
        <v/>
      </c>
      <c r="F424" s="46"/>
      <c r="G424" s="47"/>
      <c r="H424" s="47"/>
    </row>
    <row r="425" customFormat="false" ht="12.8" hidden="false" customHeight="false" outlineLevel="0" collapsed="false">
      <c r="A425" s="44" t="n">
        <v>5</v>
      </c>
      <c r="B425" s="44" t="s">
        <v>197</v>
      </c>
      <c r="C425" s="44" t="s">
        <v>158</v>
      </c>
      <c r="D425" s="45" t="str">
        <f aca="true">OFFSET(plates!$B$44,CODE(LEFT(B425,1))-64,-1)&amp;"-"&amp;OFFSET(plates!$B$4,-1,MID(B425,2,3)+0)</f>
        <v>bc538-bc120</v>
      </c>
      <c r="E425" s="46" t="str">
        <f aca="true">OFFSET(plates!$B$44,CODE(LEFT(B425,1))-64,MID(B425,2,3)+0)&amp;""</f>
        <v/>
      </c>
      <c r="F425" s="46"/>
      <c r="G425" s="47"/>
      <c r="H425" s="47"/>
    </row>
    <row r="426" customFormat="false" ht="12.8" hidden="false" customHeight="false" outlineLevel="0" collapsed="false">
      <c r="A426" s="44" t="n">
        <v>5</v>
      </c>
      <c r="B426" s="44" t="s">
        <v>198</v>
      </c>
      <c r="C426" s="44" t="s">
        <v>158</v>
      </c>
      <c r="D426" s="45" t="str">
        <f aca="true">OFFSET(plates!$B$44,CODE(LEFT(B426,1))-64,-1)&amp;"-"&amp;OFFSET(plates!$B$4,-1,MID(B426,2,3)+0)</f>
        <v>bc411-bc139</v>
      </c>
      <c r="E426" s="46" t="str">
        <f aca="true">OFFSET(plates!$B$44,CODE(LEFT(B426,1))-64,MID(B426,2,3)+0)&amp;""</f>
        <v/>
      </c>
      <c r="F426" s="46"/>
      <c r="G426" s="47"/>
      <c r="H426" s="47"/>
    </row>
    <row r="427" customFormat="false" ht="12.8" hidden="false" customHeight="false" outlineLevel="0" collapsed="false">
      <c r="A427" s="44" t="n">
        <v>5</v>
      </c>
      <c r="B427" s="44" t="s">
        <v>199</v>
      </c>
      <c r="C427" s="44" t="s">
        <v>158</v>
      </c>
      <c r="D427" s="45" t="str">
        <f aca="true">OFFSET(plates!$B$44,CODE(LEFT(B427,1))-64,-1)&amp;"-"&amp;OFFSET(plates!$B$4,-1,MID(B427,2,3)+0)</f>
        <v>bc418-bc139</v>
      </c>
      <c r="E427" s="46" t="str">
        <f aca="true">OFFSET(plates!$B$44,CODE(LEFT(B427,1))-64,MID(B427,2,3)+0)&amp;""</f>
        <v/>
      </c>
      <c r="F427" s="46"/>
      <c r="G427" s="47"/>
      <c r="H427" s="47"/>
    </row>
    <row r="428" customFormat="false" ht="12.8" hidden="false" customHeight="false" outlineLevel="0" collapsed="false">
      <c r="A428" s="44" t="n">
        <v>5</v>
      </c>
      <c r="B428" s="44" t="s">
        <v>200</v>
      </c>
      <c r="C428" s="44" t="s">
        <v>158</v>
      </c>
      <c r="D428" s="45" t="str">
        <f aca="true">OFFSET(plates!$B$44,CODE(LEFT(B428,1))-64,-1)&amp;"-"&amp;OFFSET(plates!$B$4,-1,MID(B428,2,3)+0)</f>
        <v>bc449-bc139</v>
      </c>
      <c r="E428" s="46" t="str">
        <f aca="true">OFFSET(plates!$B$44,CODE(LEFT(B428,1))-64,MID(B428,2,3)+0)&amp;""</f>
        <v/>
      </c>
      <c r="F428" s="46"/>
      <c r="G428" s="47"/>
      <c r="H428" s="47"/>
    </row>
    <row r="429" customFormat="false" ht="12.8" hidden="false" customHeight="false" outlineLevel="0" collapsed="false">
      <c r="A429" s="44" t="n">
        <v>5</v>
      </c>
      <c r="B429" s="44" t="s">
        <v>201</v>
      </c>
      <c r="C429" s="44" t="s">
        <v>158</v>
      </c>
      <c r="D429" s="45" t="str">
        <f aca="true">OFFSET(plates!$B$44,CODE(LEFT(B429,1))-64,-1)&amp;"-"&amp;OFFSET(plates!$B$4,-1,MID(B429,2,3)+0)</f>
        <v>bc462-bc139</v>
      </c>
      <c r="E429" s="46" t="str">
        <f aca="true">OFFSET(plates!$B$44,CODE(LEFT(B429,1))-64,MID(B429,2,3)+0)&amp;""</f>
        <v/>
      </c>
      <c r="F429" s="46"/>
      <c r="G429" s="47"/>
      <c r="H429" s="47"/>
    </row>
    <row r="430" customFormat="false" ht="12.8" hidden="false" customHeight="false" outlineLevel="0" collapsed="false">
      <c r="A430" s="44" t="n">
        <v>5</v>
      </c>
      <c r="B430" s="44" t="s">
        <v>202</v>
      </c>
      <c r="C430" s="44" t="s">
        <v>158</v>
      </c>
      <c r="D430" s="45" t="str">
        <f aca="true">OFFSET(plates!$B$44,CODE(LEFT(B430,1))-64,-1)&amp;"-"&amp;OFFSET(plates!$B$4,-1,MID(B430,2,3)+0)</f>
        <v>bc485-bc139</v>
      </c>
      <c r="E430" s="46" t="str">
        <f aca="true">OFFSET(plates!$B$44,CODE(LEFT(B430,1))-64,MID(B430,2,3)+0)&amp;""</f>
        <v/>
      </c>
      <c r="F430" s="46"/>
      <c r="G430" s="47"/>
      <c r="H430" s="47"/>
    </row>
    <row r="431" customFormat="false" ht="12.8" hidden="false" customHeight="false" outlineLevel="0" collapsed="false">
      <c r="A431" s="44" t="n">
        <v>5</v>
      </c>
      <c r="B431" s="44" t="s">
        <v>203</v>
      </c>
      <c r="C431" s="44" t="s">
        <v>158</v>
      </c>
      <c r="D431" s="45" t="str">
        <f aca="true">OFFSET(plates!$B$44,CODE(LEFT(B431,1))-64,-1)&amp;"-"&amp;OFFSET(plates!$B$4,-1,MID(B431,2,3)+0)</f>
        <v>bc486-bc139</v>
      </c>
      <c r="E431" s="46" t="str">
        <f aca="true">OFFSET(plates!$B$44,CODE(LEFT(B431,1))-64,MID(B431,2,3)+0)&amp;""</f>
        <v/>
      </c>
      <c r="F431" s="46"/>
      <c r="G431" s="47"/>
      <c r="H431" s="47"/>
    </row>
    <row r="432" customFormat="false" ht="12.8" hidden="false" customHeight="false" outlineLevel="0" collapsed="false">
      <c r="A432" s="44" t="n">
        <v>5</v>
      </c>
      <c r="B432" s="44" t="s">
        <v>204</v>
      </c>
      <c r="C432" s="44" t="s">
        <v>158</v>
      </c>
      <c r="D432" s="45" t="str">
        <f aca="true">OFFSET(plates!$B$44,CODE(LEFT(B432,1))-64,-1)&amp;"-"&amp;OFFSET(plates!$B$4,-1,MID(B432,2,3)+0)</f>
        <v>bc494-bc139</v>
      </c>
      <c r="E432" s="46" t="str">
        <f aca="true">OFFSET(plates!$B$44,CODE(LEFT(B432,1))-64,MID(B432,2,3)+0)&amp;""</f>
        <v/>
      </c>
      <c r="F432" s="46"/>
      <c r="G432" s="47"/>
      <c r="H432" s="47"/>
    </row>
    <row r="433" customFormat="false" ht="12.8" hidden="false" customHeight="false" outlineLevel="0" collapsed="false">
      <c r="A433" s="44" t="n">
        <v>5</v>
      </c>
      <c r="B433" s="44" t="s">
        <v>205</v>
      </c>
      <c r="C433" s="44" t="s">
        <v>158</v>
      </c>
      <c r="D433" s="45" t="str">
        <f aca="true">OFFSET(plates!$B$44,CODE(LEFT(B433,1))-64,-1)&amp;"-"&amp;OFFSET(plates!$B$4,-1,MID(B433,2,3)+0)</f>
        <v>bc538-bc139</v>
      </c>
      <c r="E433" s="46" t="str">
        <f aca="true">OFFSET(plates!$B$44,CODE(LEFT(B433,1))-64,MID(B433,2,3)+0)&amp;""</f>
        <v/>
      </c>
      <c r="F433" s="46"/>
      <c r="G433" s="47"/>
      <c r="H433" s="47"/>
    </row>
    <row r="434" customFormat="false" ht="12.8" hidden="false" customHeight="false" outlineLevel="0" collapsed="false">
      <c r="A434" s="44" t="n">
        <v>5</v>
      </c>
      <c r="B434" s="44" t="s">
        <v>206</v>
      </c>
      <c r="C434" s="44" t="s">
        <v>158</v>
      </c>
      <c r="D434" s="45" t="str">
        <f aca="true">OFFSET(plates!$B$44,CODE(LEFT(B434,1))-64,-1)&amp;"-"&amp;OFFSET(plates!$B$4,-1,MID(B434,2,3)+0)</f>
        <v>bc411-bc145</v>
      </c>
      <c r="E434" s="46" t="str">
        <f aca="true">OFFSET(plates!$B$44,CODE(LEFT(B434,1))-64,MID(B434,2,3)+0)&amp;""</f>
        <v/>
      </c>
      <c r="F434" s="46"/>
      <c r="G434" s="47"/>
      <c r="H434" s="47"/>
    </row>
    <row r="435" customFormat="false" ht="12.8" hidden="false" customHeight="false" outlineLevel="0" collapsed="false">
      <c r="A435" s="44" t="n">
        <v>5</v>
      </c>
      <c r="B435" s="44" t="s">
        <v>207</v>
      </c>
      <c r="C435" s="44" t="s">
        <v>158</v>
      </c>
      <c r="D435" s="45" t="str">
        <f aca="true">OFFSET(plates!$B$44,CODE(LEFT(B435,1))-64,-1)&amp;"-"&amp;OFFSET(plates!$B$4,-1,MID(B435,2,3)+0)</f>
        <v>bc418-bc145</v>
      </c>
      <c r="E435" s="46" t="str">
        <f aca="true">OFFSET(plates!$B$44,CODE(LEFT(B435,1))-64,MID(B435,2,3)+0)&amp;""</f>
        <v/>
      </c>
      <c r="F435" s="46"/>
      <c r="G435" s="47"/>
      <c r="H435" s="47"/>
    </row>
    <row r="436" customFormat="false" ht="12.8" hidden="false" customHeight="false" outlineLevel="0" collapsed="false">
      <c r="A436" s="44" t="n">
        <v>5</v>
      </c>
      <c r="B436" s="44" t="s">
        <v>208</v>
      </c>
      <c r="C436" s="44" t="s">
        <v>158</v>
      </c>
      <c r="D436" s="45" t="str">
        <f aca="true">OFFSET(plates!$B$44,CODE(LEFT(B436,1))-64,-1)&amp;"-"&amp;OFFSET(plates!$B$4,-1,MID(B436,2,3)+0)</f>
        <v>bc449-bc145</v>
      </c>
      <c r="E436" s="46" t="str">
        <f aca="true">OFFSET(plates!$B$44,CODE(LEFT(B436,1))-64,MID(B436,2,3)+0)&amp;""</f>
        <v/>
      </c>
      <c r="F436" s="46"/>
      <c r="G436" s="47"/>
      <c r="H436" s="47"/>
    </row>
    <row r="437" customFormat="false" ht="12.8" hidden="false" customHeight="false" outlineLevel="0" collapsed="false">
      <c r="A437" s="44" t="n">
        <v>5</v>
      </c>
      <c r="B437" s="44" t="s">
        <v>209</v>
      </c>
      <c r="C437" s="44" t="s">
        <v>158</v>
      </c>
      <c r="D437" s="45" t="str">
        <f aca="true">OFFSET(plates!$B$44,CODE(LEFT(B437,1))-64,-1)&amp;"-"&amp;OFFSET(plates!$B$4,-1,MID(B437,2,3)+0)</f>
        <v>bc462-bc145</v>
      </c>
      <c r="E437" s="46" t="str">
        <f aca="true">OFFSET(plates!$B$44,CODE(LEFT(B437,1))-64,MID(B437,2,3)+0)&amp;""</f>
        <v/>
      </c>
      <c r="F437" s="46"/>
      <c r="G437" s="47"/>
      <c r="H437" s="47"/>
    </row>
    <row r="438" customFormat="false" ht="12.8" hidden="false" customHeight="false" outlineLevel="0" collapsed="false">
      <c r="A438" s="44" t="n">
        <v>5</v>
      </c>
      <c r="B438" s="44" t="s">
        <v>210</v>
      </c>
      <c r="C438" s="44" t="s">
        <v>158</v>
      </c>
      <c r="D438" s="45" t="str">
        <f aca="true">OFFSET(plates!$B$44,CODE(LEFT(B438,1))-64,-1)&amp;"-"&amp;OFFSET(plates!$B$4,-1,MID(B438,2,3)+0)</f>
        <v>bc485-bc145</v>
      </c>
      <c r="E438" s="46" t="str">
        <f aca="true">OFFSET(plates!$B$44,CODE(LEFT(B438,1))-64,MID(B438,2,3)+0)&amp;""</f>
        <v/>
      </c>
      <c r="F438" s="46"/>
      <c r="G438" s="47"/>
      <c r="H438" s="47"/>
    </row>
    <row r="439" customFormat="false" ht="12.8" hidden="false" customHeight="false" outlineLevel="0" collapsed="false">
      <c r="A439" s="44" t="n">
        <v>5</v>
      </c>
      <c r="B439" s="44" t="s">
        <v>211</v>
      </c>
      <c r="C439" s="44" t="s">
        <v>158</v>
      </c>
      <c r="D439" s="45" t="str">
        <f aca="true">OFFSET(plates!$B$44,CODE(LEFT(B439,1))-64,-1)&amp;"-"&amp;OFFSET(plates!$B$4,-1,MID(B439,2,3)+0)</f>
        <v>bc486-bc145</v>
      </c>
      <c r="E439" s="46" t="str">
        <f aca="true">OFFSET(plates!$B$44,CODE(LEFT(B439,1))-64,MID(B439,2,3)+0)&amp;""</f>
        <v/>
      </c>
      <c r="F439" s="46"/>
      <c r="G439" s="47"/>
      <c r="H439" s="47"/>
    </row>
    <row r="440" customFormat="false" ht="12.8" hidden="false" customHeight="false" outlineLevel="0" collapsed="false">
      <c r="A440" s="44" t="n">
        <v>5</v>
      </c>
      <c r="B440" s="44" t="s">
        <v>212</v>
      </c>
      <c r="C440" s="44" t="s">
        <v>158</v>
      </c>
      <c r="D440" s="45" t="str">
        <f aca="true">OFFSET(plates!$B$44,CODE(LEFT(B440,1))-64,-1)&amp;"-"&amp;OFFSET(plates!$B$4,-1,MID(B440,2,3)+0)</f>
        <v>bc494-bc145</v>
      </c>
      <c r="E440" s="46" t="str">
        <f aca="true">OFFSET(plates!$B$44,CODE(LEFT(B440,1))-64,MID(B440,2,3)+0)&amp;""</f>
        <v/>
      </c>
      <c r="F440" s="46"/>
      <c r="G440" s="47"/>
      <c r="H440" s="47"/>
    </row>
    <row r="441" customFormat="false" ht="12.8" hidden="false" customHeight="false" outlineLevel="0" collapsed="false">
      <c r="A441" s="44" t="n">
        <v>5</v>
      </c>
      <c r="B441" s="44" t="s">
        <v>213</v>
      </c>
      <c r="C441" s="44" t="s">
        <v>158</v>
      </c>
      <c r="D441" s="45" t="str">
        <f aca="true">OFFSET(plates!$B$44,CODE(LEFT(B441,1))-64,-1)&amp;"-"&amp;OFFSET(plates!$B$4,-1,MID(B441,2,3)+0)</f>
        <v>bc538-bc145</v>
      </c>
      <c r="E441" s="46" t="str">
        <f aca="true">OFFSET(plates!$B$44,CODE(LEFT(B441,1))-64,MID(B441,2,3)+0)&amp;""</f>
        <v/>
      </c>
      <c r="F441" s="46"/>
      <c r="G441" s="47"/>
      <c r="H441" s="47"/>
    </row>
    <row r="442" customFormat="false" ht="12.8" hidden="false" customHeight="false" outlineLevel="0" collapsed="false">
      <c r="A442" s="44" t="n">
        <v>5</v>
      </c>
      <c r="B442" s="44" t="s">
        <v>214</v>
      </c>
      <c r="C442" s="44" t="s">
        <v>158</v>
      </c>
      <c r="D442" s="45" t="str">
        <f aca="true">OFFSET(plates!$B$44,CODE(LEFT(B442,1))-64,-1)&amp;"-"&amp;OFFSET(plates!$B$4,-1,MID(B442,2,3)+0)</f>
        <v>bc411-bc150</v>
      </c>
      <c r="E442" s="46" t="str">
        <f aca="true">OFFSET(plates!$B$44,CODE(LEFT(B442,1))-64,MID(B442,2,3)+0)&amp;""</f>
        <v/>
      </c>
      <c r="F442" s="46"/>
      <c r="G442" s="47"/>
      <c r="H442" s="47"/>
    </row>
    <row r="443" customFormat="false" ht="12.8" hidden="false" customHeight="false" outlineLevel="0" collapsed="false">
      <c r="A443" s="44" t="n">
        <v>5</v>
      </c>
      <c r="B443" s="44" t="s">
        <v>215</v>
      </c>
      <c r="C443" s="44" t="s">
        <v>158</v>
      </c>
      <c r="D443" s="45" t="str">
        <f aca="true">OFFSET(plates!$B$44,CODE(LEFT(B443,1))-64,-1)&amp;"-"&amp;OFFSET(plates!$B$4,-1,MID(B443,2,3)+0)</f>
        <v>bc418-bc150</v>
      </c>
      <c r="E443" s="46" t="str">
        <f aca="true">OFFSET(plates!$B$44,CODE(LEFT(B443,1))-64,MID(B443,2,3)+0)&amp;""</f>
        <v/>
      </c>
      <c r="F443" s="46"/>
      <c r="G443" s="47"/>
      <c r="H443" s="47"/>
    </row>
    <row r="444" customFormat="false" ht="12.8" hidden="false" customHeight="false" outlineLevel="0" collapsed="false">
      <c r="A444" s="44" t="n">
        <v>5</v>
      </c>
      <c r="B444" s="44" t="s">
        <v>216</v>
      </c>
      <c r="C444" s="44" t="s">
        <v>158</v>
      </c>
      <c r="D444" s="45" t="str">
        <f aca="true">OFFSET(plates!$B$44,CODE(LEFT(B444,1))-64,-1)&amp;"-"&amp;OFFSET(plates!$B$4,-1,MID(B444,2,3)+0)</f>
        <v>bc449-bc150</v>
      </c>
      <c r="E444" s="46" t="str">
        <f aca="true">OFFSET(plates!$B$44,CODE(LEFT(B444,1))-64,MID(B444,2,3)+0)&amp;""</f>
        <v/>
      </c>
      <c r="F444" s="46"/>
      <c r="G444" s="47"/>
      <c r="H444" s="47"/>
    </row>
    <row r="445" customFormat="false" ht="12.8" hidden="false" customHeight="false" outlineLevel="0" collapsed="false">
      <c r="A445" s="44" t="n">
        <v>5</v>
      </c>
      <c r="B445" s="44" t="s">
        <v>217</v>
      </c>
      <c r="C445" s="44" t="s">
        <v>158</v>
      </c>
      <c r="D445" s="45" t="str">
        <f aca="true">OFFSET(plates!$B$44,CODE(LEFT(B445,1))-64,-1)&amp;"-"&amp;OFFSET(plates!$B$4,-1,MID(B445,2,3)+0)</f>
        <v>bc462-bc150</v>
      </c>
      <c r="E445" s="46" t="str">
        <f aca="true">OFFSET(plates!$B$44,CODE(LEFT(B445,1))-64,MID(B445,2,3)+0)&amp;""</f>
        <v/>
      </c>
      <c r="F445" s="46"/>
      <c r="G445" s="47"/>
      <c r="H445" s="47"/>
    </row>
    <row r="446" customFormat="false" ht="12.8" hidden="false" customHeight="false" outlineLevel="0" collapsed="false">
      <c r="A446" s="44" t="n">
        <v>5</v>
      </c>
      <c r="B446" s="44" t="s">
        <v>218</v>
      </c>
      <c r="C446" s="44" t="s">
        <v>158</v>
      </c>
      <c r="D446" s="45" t="str">
        <f aca="true">OFFSET(plates!$B$44,CODE(LEFT(B446,1))-64,-1)&amp;"-"&amp;OFFSET(plates!$B$4,-1,MID(B446,2,3)+0)</f>
        <v>bc485-bc150</v>
      </c>
      <c r="E446" s="46" t="str">
        <f aca="true">OFFSET(plates!$B$44,CODE(LEFT(B446,1))-64,MID(B446,2,3)+0)&amp;""</f>
        <v/>
      </c>
      <c r="F446" s="46"/>
      <c r="G446" s="47"/>
      <c r="H446" s="47"/>
    </row>
    <row r="447" customFormat="false" ht="12.8" hidden="false" customHeight="false" outlineLevel="0" collapsed="false">
      <c r="A447" s="44" t="n">
        <v>5</v>
      </c>
      <c r="B447" s="44" t="s">
        <v>219</v>
      </c>
      <c r="C447" s="44" t="s">
        <v>158</v>
      </c>
      <c r="D447" s="45" t="str">
        <f aca="true">OFFSET(plates!$B$44,CODE(LEFT(B447,1))-64,-1)&amp;"-"&amp;OFFSET(plates!$B$4,-1,MID(B447,2,3)+0)</f>
        <v>bc486-bc150</v>
      </c>
      <c r="E447" s="46" t="str">
        <f aca="true">OFFSET(plates!$B$44,CODE(LEFT(B447,1))-64,MID(B447,2,3)+0)&amp;""</f>
        <v/>
      </c>
      <c r="F447" s="46"/>
      <c r="G447" s="47"/>
      <c r="H447" s="47"/>
    </row>
    <row r="448" customFormat="false" ht="12.8" hidden="false" customHeight="false" outlineLevel="0" collapsed="false">
      <c r="A448" s="44" t="n">
        <v>5</v>
      </c>
      <c r="B448" s="44" t="s">
        <v>220</v>
      </c>
      <c r="C448" s="44" t="s">
        <v>158</v>
      </c>
      <c r="D448" s="45" t="str">
        <f aca="true">OFFSET(plates!$B$44,CODE(LEFT(B448,1))-64,-1)&amp;"-"&amp;OFFSET(plates!$B$4,-1,MID(B448,2,3)+0)</f>
        <v>bc494-bc150</v>
      </c>
      <c r="E448" s="46" t="str">
        <f aca="true">OFFSET(plates!$B$44,CODE(LEFT(B448,1))-64,MID(B448,2,3)+0)&amp;""</f>
        <v/>
      </c>
      <c r="F448" s="46"/>
      <c r="G448" s="47"/>
      <c r="H448" s="47"/>
    </row>
    <row r="449" customFormat="false" ht="12.8" hidden="false" customHeight="false" outlineLevel="0" collapsed="false">
      <c r="A449" s="44" t="n">
        <v>5</v>
      </c>
      <c r="B449" s="44" t="s">
        <v>221</v>
      </c>
      <c r="C449" s="44" t="s">
        <v>158</v>
      </c>
      <c r="D449" s="45" t="str">
        <f aca="true">OFFSET(plates!$B$44,CODE(LEFT(B449,1))-64,-1)&amp;"-"&amp;OFFSET(plates!$B$4,-1,MID(B449,2,3)+0)</f>
        <v>bc538-bc150</v>
      </c>
      <c r="E449" s="46" t="str">
        <f aca="true">OFFSET(plates!$B$44,CODE(LEFT(B449,1))-64,MID(B449,2,3)+0)&amp;""</f>
        <v/>
      </c>
      <c r="F449" s="46"/>
      <c r="G449" s="47"/>
      <c r="H449" s="47"/>
    </row>
    <row r="450" customFormat="false" ht="12.8" hidden="false" customHeight="false" outlineLevel="0" collapsed="false">
      <c r="A450" s="44" t="n">
        <v>5</v>
      </c>
      <c r="B450" s="44" t="s">
        <v>222</v>
      </c>
      <c r="C450" s="44" t="s">
        <v>158</v>
      </c>
      <c r="D450" s="45" t="str">
        <f aca="true">OFFSET(plates!$B$44,CODE(LEFT(B450,1))-64,-1)&amp;"-"&amp;OFFSET(plates!$B$4,-1,MID(B450,2,3)+0)</f>
        <v>bc411-bc183</v>
      </c>
      <c r="E450" s="46" t="str">
        <f aca="true">OFFSET(plates!$B$44,CODE(LEFT(B450,1))-64,MID(B450,2,3)+0)&amp;""</f>
        <v/>
      </c>
      <c r="F450" s="46"/>
      <c r="G450" s="47"/>
      <c r="H450" s="47"/>
    </row>
    <row r="451" customFormat="false" ht="12.8" hidden="false" customHeight="false" outlineLevel="0" collapsed="false">
      <c r="A451" s="44" t="n">
        <v>5</v>
      </c>
      <c r="B451" s="44" t="s">
        <v>223</v>
      </c>
      <c r="C451" s="44" t="s">
        <v>158</v>
      </c>
      <c r="D451" s="45" t="str">
        <f aca="true">OFFSET(plates!$B$44,CODE(LEFT(B451,1))-64,-1)&amp;"-"&amp;OFFSET(plates!$B$4,-1,MID(B451,2,3)+0)</f>
        <v>bc418-bc183</v>
      </c>
      <c r="E451" s="46" t="str">
        <f aca="true">OFFSET(plates!$B$44,CODE(LEFT(B451,1))-64,MID(B451,2,3)+0)&amp;""</f>
        <v/>
      </c>
      <c r="F451" s="46"/>
      <c r="G451" s="47"/>
      <c r="H451" s="47"/>
    </row>
    <row r="452" customFormat="false" ht="12.8" hidden="false" customHeight="false" outlineLevel="0" collapsed="false">
      <c r="A452" s="44" t="n">
        <v>5</v>
      </c>
      <c r="B452" s="44" t="s">
        <v>224</v>
      </c>
      <c r="C452" s="44" t="s">
        <v>158</v>
      </c>
      <c r="D452" s="45" t="str">
        <f aca="true">OFFSET(plates!$B$44,CODE(LEFT(B452,1))-64,-1)&amp;"-"&amp;OFFSET(plates!$B$4,-1,MID(B452,2,3)+0)</f>
        <v>bc449-bc183</v>
      </c>
      <c r="E452" s="46" t="str">
        <f aca="true">OFFSET(plates!$B$44,CODE(LEFT(B452,1))-64,MID(B452,2,3)+0)&amp;""</f>
        <v/>
      </c>
      <c r="F452" s="46"/>
      <c r="G452" s="47"/>
      <c r="H452" s="47"/>
    </row>
    <row r="453" customFormat="false" ht="12.8" hidden="false" customHeight="false" outlineLevel="0" collapsed="false">
      <c r="A453" s="44" t="n">
        <v>5</v>
      </c>
      <c r="B453" s="44" t="s">
        <v>225</v>
      </c>
      <c r="C453" s="44" t="s">
        <v>158</v>
      </c>
      <c r="D453" s="45" t="str">
        <f aca="true">OFFSET(plates!$B$44,CODE(LEFT(B453,1))-64,-1)&amp;"-"&amp;OFFSET(plates!$B$4,-1,MID(B453,2,3)+0)</f>
        <v>bc462-bc183</v>
      </c>
      <c r="E453" s="46" t="str">
        <f aca="true">OFFSET(plates!$B$44,CODE(LEFT(B453,1))-64,MID(B453,2,3)+0)&amp;""</f>
        <v/>
      </c>
      <c r="F453" s="46"/>
      <c r="G453" s="47"/>
      <c r="H453" s="47"/>
    </row>
    <row r="454" customFormat="false" ht="12.8" hidden="false" customHeight="false" outlineLevel="0" collapsed="false">
      <c r="A454" s="44" t="n">
        <v>5</v>
      </c>
      <c r="B454" s="44" t="s">
        <v>226</v>
      </c>
      <c r="C454" s="44" t="s">
        <v>158</v>
      </c>
      <c r="D454" s="45" t="str">
        <f aca="true">OFFSET(plates!$B$44,CODE(LEFT(B454,1))-64,-1)&amp;"-"&amp;OFFSET(plates!$B$4,-1,MID(B454,2,3)+0)</f>
        <v>bc485-bc183</v>
      </c>
      <c r="E454" s="46" t="str">
        <f aca="true">OFFSET(plates!$B$44,CODE(LEFT(B454,1))-64,MID(B454,2,3)+0)&amp;""</f>
        <v/>
      </c>
      <c r="F454" s="46"/>
      <c r="G454" s="47"/>
      <c r="H454" s="47"/>
    </row>
    <row r="455" customFormat="false" ht="12.8" hidden="false" customHeight="false" outlineLevel="0" collapsed="false">
      <c r="A455" s="44" t="n">
        <v>5</v>
      </c>
      <c r="B455" s="44" t="s">
        <v>227</v>
      </c>
      <c r="C455" s="44" t="s">
        <v>158</v>
      </c>
      <c r="D455" s="45" t="str">
        <f aca="true">OFFSET(plates!$B$44,CODE(LEFT(B455,1))-64,-1)&amp;"-"&amp;OFFSET(plates!$B$4,-1,MID(B455,2,3)+0)</f>
        <v>bc486-bc183</v>
      </c>
      <c r="E455" s="46" t="str">
        <f aca="true">OFFSET(plates!$B$44,CODE(LEFT(B455,1))-64,MID(B455,2,3)+0)&amp;""</f>
        <v/>
      </c>
      <c r="F455" s="46"/>
      <c r="G455" s="47"/>
      <c r="H455" s="47"/>
    </row>
    <row r="456" customFormat="false" ht="12.8" hidden="false" customHeight="false" outlineLevel="0" collapsed="false">
      <c r="A456" s="44" t="n">
        <v>5</v>
      </c>
      <c r="B456" s="44" t="s">
        <v>228</v>
      </c>
      <c r="C456" s="44" t="s">
        <v>158</v>
      </c>
      <c r="D456" s="45" t="str">
        <f aca="true">OFFSET(plates!$B$44,CODE(LEFT(B456,1))-64,-1)&amp;"-"&amp;OFFSET(plates!$B$4,-1,MID(B456,2,3)+0)</f>
        <v>bc494-bc183</v>
      </c>
      <c r="E456" s="46" t="str">
        <f aca="true">OFFSET(plates!$B$44,CODE(LEFT(B456,1))-64,MID(B456,2,3)+0)&amp;""</f>
        <v/>
      </c>
      <c r="F456" s="46"/>
      <c r="G456" s="47"/>
      <c r="H456" s="47"/>
    </row>
    <row r="457" customFormat="false" ht="12.8" hidden="false" customHeight="false" outlineLevel="0" collapsed="false">
      <c r="A457" s="44" t="n">
        <v>5</v>
      </c>
      <c r="B457" s="44" t="s">
        <v>229</v>
      </c>
      <c r="C457" s="44" t="s">
        <v>158</v>
      </c>
      <c r="D457" s="45" t="str">
        <f aca="true">OFFSET(plates!$B$44,CODE(LEFT(B457,1))-64,-1)&amp;"-"&amp;OFFSET(plates!$B$4,-1,MID(B457,2,3)+0)</f>
        <v>bc538-bc183</v>
      </c>
      <c r="E457" s="46" t="str">
        <f aca="true">OFFSET(plates!$B$44,CODE(LEFT(B457,1))-64,MID(B457,2,3)+0)&amp;""</f>
        <v/>
      </c>
      <c r="F457" s="46"/>
      <c r="G457" s="47"/>
      <c r="H457" s="47"/>
    </row>
    <row r="458" customFormat="false" ht="12.8" hidden="false" customHeight="false" outlineLevel="0" collapsed="false">
      <c r="A458" s="44" t="n">
        <v>5</v>
      </c>
      <c r="B458" s="44" t="s">
        <v>230</v>
      </c>
      <c r="C458" s="44" t="s">
        <v>158</v>
      </c>
      <c r="D458" s="45" t="str">
        <f aca="true">OFFSET(plates!$B$44,CODE(LEFT(B458,1))-64,-1)&amp;"-"&amp;OFFSET(plates!$B$4,-1,MID(B458,2,3)+0)</f>
        <v>bc411-bc218</v>
      </c>
      <c r="E458" s="46" t="str">
        <f aca="true">OFFSET(plates!$B$44,CODE(LEFT(B458,1))-64,MID(B458,2,3)+0)&amp;""</f>
        <v/>
      </c>
      <c r="F458" s="46"/>
      <c r="G458" s="47"/>
      <c r="H458" s="47"/>
    </row>
    <row r="459" customFormat="false" ht="12.8" hidden="false" customHeight="false" outlineLevel="0" collapsed="false">
      <c r="A459" s="44" t="n">
        <v>5</v>
      </c>
      <c r="B459" s="44" t="s">
        <v>231</v>
      </c>
      <c r="C459" s="44" t="s">
        <v>158</v>
      </c>
      <c r="D459" s="45" t="str">
        <f aca="true">OFFSET(plates!$B$44,CODE(LEFT(B459,1))-64,-1)&amp;"-"&amp;OFFSET(plates!$B$4,-1,MID(B459,2,3)+0)</f>
        <v>bc418-bc218</v>
      </c>
      <c r="E459" s="46" t="str">
        <f aca="true">OFFSET(plates!$B$44,CODE(LEFT(B459,1))-64,MID(B459,2,3)+0)&amp;""</f>
        <v/>
      </c>
      <c r="F459" s="46"/>
      <c r="G459" s="47"/>
      <c r="H459" s="47"/>
    </row>
    <row r="460" customFormat="false" ht="12.8" hidden="false" customHeight="false" outlineLevel="0" collapsed="false">
      <c r="A460" s="44" t="n">
        <v>5</v>
      </c>
      <c r="B460" s="44" t="s">
        <v>232</v>
      </c>
      <c r="C460" s="44" t="s">
        <v>158</v>
      </c>
      <c r="D460" s="45" t="str">
        <f aca="true">OFFSET(plates!$B$44,CODE(LEFT(B460,1))-64,-1)&amp;"-"&amp;OFFSET(plates!$B$4,-1,MID(B460,2,3)+0)</f>
        <v>bc449-bc218</v>
      </c>
      <c r="E460" s="46" t="str">
        <f aca="true">OFFSET(plates!$B$44,CODE(LEFT(B460,1))-64,MID(B460,2,3)+0)&amp;""</f>
        <v/>
      </c>
      <c r="F460" s="46"/>
      <c r="G460" s="47"/>
      <c r="H460" s="47"/>
    </row>
    <row r="461" s="48" customFormat="true" ht="12.8" hidden="false" customHeight="false" outlineLevel="0" collapsed="false">
      <c r="A461" s="44" t="n">
        <v>5</v>
      </c>
      <c r="B461" s="44" t="s">
        <v>233</v>
      </c>
      <c r="C461" s="44" t="s">
        <v>158</v>
      </c>
      <c r="D461" s="45" t="str">
        <f aca="true">OFFSET(plates!$B$44,CODE(LEFT(B461,1))-64,-1)&amp;"-"&amp;OFFSET(plates!$B$4,-1,MID(B461,2,3)+0)</f>
        <v>bc462-bc218</v>
      </c>
      <c r="E461" s="46" t="str">
        <f aca="true">OFFSET(plates!$B$44,CODE(LEFT(B461,1))-64,MID(B461,2,3)+0)&amp;""</f>
        <v/>
      </c>
      <c r="F461" s="46"/>
      <c r="G461" s="47"/>
      <c r="H461" s="47"/>
      <c r="I461" s="36"/>
      <c r="J461" s="36"/>
      <c r="K461" s="36"/>
      <c r="L461" s="36"/>
      <c r="M461" s="36"/>
    </row>
    <row r="462" customFormat="false" ht="12.8" hidden="false" customHeight="false" outlineLevel="0" collapsed="false">
      <c r="A462" s="44" t="n">
        <v>5</v>
      </c>
      <c r="B462" s="44" t="s">
        <v>234</v>
      </c>
      <c r="C462" s="44" t="s">
        <v>158</v>
      </c>
      <c r="D462" s="45" t="str">
        <f aca="true">OFFSET(plates!$B$44,CODE(LEFT(B462,1))-64,-1)&amp;"-"&amp;OFFSET(plates!$B$4,-1,MID(B462,2,3)+0)</f>
        <v>bc485-bc218</v>
      </c>
      <c r="E462" s="46" t="str">
        <f aca="true">OFFSET(plates!$B$44,CODE(LEFT(B462,1))-64,MID(B462,2,3)+0)&amp;""</f>
        <v/>
      </c>
      <c r="F462" s="46"/>
      <c r="G462" s="47"/>
      <c r="H462" s="47"/>
    </row>
    <row r="463" customFormat="false" ht="12.8" hidden="false" customHeight="false" outlineLevel="0" collapsed="false">
      <c r="A463" s="44" t="n">
        <v>5</v>
      </c>
      <c r="B463" s="44" t="s">
        <v>235</v>
      </c>
      <c r="C463" s="44" t="s">
        <v>158</v>
      </c>
      <c r="D463" s="45" t="str">
        <f aca="true">OFFSET(plates!$B$44,CODE(LEFT(B463,1))-64,-1)&amp;"-"&amp;OFFSET(plates!$B$4,-1,MID(B463,2,3)+0)</f>
        <v>bc486-bc218</v>
      </c>
      <c r="E463" s="46" t="str">
        <f aca="true">OFFSET(plates!$B$44,CODE(LEFT(B463,1))-64,MID(B463,2,3)+0)&amp;""</f>
        <v/>
      </c>
      <c r="F463" s="46"/>
      <c r="G463" s="47"/>
      <c r="H463" s="47"/>
    </row>
    <row r="464" customFormat="false" ht="12.8" hidden="false" customHeight="false" outlineLevel="0" collapsed="false">
      <c r="A464" s="44" t="n">
        <v>5</v>
      </c>
      <c r="B464" s="44" t="s">
        <v>236</v>
      </c>
      <c r="C464" s="44" t="s">
        <v>158</v>
      </c>
      <c r="D464" s="45" t="str">
        <f aca="true">OFFSET(plates!$B$44,CODE(LEFT(B464,1))-64,-1)&amp;"-"&amp;OFFSET(plates!$B$4,-1,MID(B464,2,3)+0)</f>
        <v>bc494-bc218</v>
      </c>
      <c r="E464" s="46" t="str">
        <f aca="true">OFFSET(plates!$B$44,CODE(LEFT(B464,1))-64,MID(B464,2,3)+0)&amp;""</f>
        <v/>
      </c>
      <c r="F464" s="46"/>
      <c r="G464" s="47"/>
      <c r="H464" s="47"/>
    </row>
    <row r="465" customFormat="false" ht="12.8" hidden="false" customHeight="false" outlineLevel="0" collapsed="false">
      <c r="A465" s="44" t="n">
        <v>5</v>
      </c>
      <c r="B465" s="44" t="s">
        <v>237</v>
      </c>
      <c r="C465" s="44" t="s">
        <v>158</v>
      </c>
      <c r="D465" s="45" t="str">
        <f aca="true">OFFSET(plates!$B$44,CODE(LEFT(B465,1))-64,-1)&amp;"-"&amp;OFFSET(plates!$B$4,-1,MID(B465,2,3)+0)</f>
        <v>bc538-bc218</v>
      </c>
      <c r="E465" s="46" t="str">
        <f aca="true">OFFSET(plates!$B$44,CODE(LEFT(B465,1))-64,MID(B465,2,3)+0)&amp;""</f>
        <v/>
      </c>
      <c r="F465" s="46"/>
      <c r="G465" s="47"/>
      <c r="H465" s="47"/>
    </row>
    <row r="466" customFormat="false" ht="12.8" hidden="false" customHeight="false" outlineLevel="0" collapsed="false">
      <c r="A466" s="44" t="n">
        <v>5</v>
      </c>
      <c r="B466" s="44" t="s">
        <v>238</v>
      </c>
      <c r="C466" s="44" t="s">
        <v>158</v>
      </c>
      <c r="D466" s="45" t="str">
        <f aca="true">OFFSET(plates!$B$44,CODE(LEFT(B466,1))-64,-1)&amp;"-"&amp;OFFSET(plates!$B$4,-1,MID(B466,2,3)+0)</f>
        <v>bc411-bc219</v>
      </c>
      <c r="E466" s="46" t="str">
        <f aca="true">OFFSET(plates!$B$44,CODE(LEFT(B466,1))-64,MID(B466,2,3)+0)&amp;""</f>
        <v/>
      </c>
      <c r="F466" s="46"/>
      <c r="G466" s="47"/>
      <c r="H466" s="47"/>
    </row>
    <row r="467" customFormat="false" ht="12.8" hidden="false" customHeight="false" outlineLevel="0" collapsed="false">
      <c r="A467" s="44" t="n">
        <v>5</v>
      </c>
      <c r="B467" s="44" t="s">
        <v>239</v>
      </c>
      <c r="C467" s="44" t="s">
        <v>158</v>
      </c>
      <c r="D467" s="45" t="str">
        <f aca="true">OFFSET(plates!$B$44,CODE(LEFT(B467,1))-64,-1)&amp;"-"&amp;OFFSET(plates!$B$4,-1,MID(B467,2,3)+0)</f>
        <v>bc418-bc219</v>
      </c>
      <c r="E467" s="46" t="str">
        <f aca="true">OFFSET(plates!$B$44,CODE(LEFT(B467,1))-64,MID(B467,2,3)+0)&amp;""</f>
        <v/>
      </c>
      <c r="F467" s="46"/>
      <c r="G467" s="47"/>
      <c r="H467" s="47"/>
    </row>
    <row r="468" customFormat="false" ht="12.8" hidden="false" customHeight="false" outlineLevel="0" collapsed="false">
      <c r="A468" s="44" t="n">
        <v>5</v>
      </c>
      <c r="B468" s="44" t="s">
        <v>240</v>
      </c>
      <c r="C468" s="44" t="s">
        <v>158</v>
      </c>
      <c r="D468" s="45" t="str">
        <f aca="true">OFFSET(plates!$B$44,CODE(LEFT(B468,1))-64,-1)&amp;"-"&amp;OFFSET(plates!$B$4,-1,MID(B468,2,3)+0)</f>
        <v>bc449-bc219</v>
      </c>
      <c r="E468" s="46" t="str">
        <f aca="true">OFFSET(plates!$B$44,CODE(LEFT(B468,1))-64,MID(B468,2,3)+0)&amp;""</f>
        <v/>
      </c>
      <c r="F468" s="46"/>
      <c r="G468" s="47"/>
      <c r="H468" s="47"/>
    </row>
    <row r="469" customFormat="false" ht="12.8" hidden="false" customHeight="false" outlineLevel="0" collapsed="false">
      <c r="A469" s="44" t="n">
        <v>5</v>
      </c>
      <c r="B469" s="44" t="s">
        <v>241</v>
      </c>
      <c r="C469" s="44" t="s">
        <v>158</v>
      </c>
      <c r="D469" s="45" t="str">
        <f aca="true">OFFSET(plates!$B$44,CODE(LEFT(B469,1))-64,-1)&amp;"-"&amp;OFFSET(plates!$B$4,-1,MID(B469,2,3)+0)</f>
        <v>bc462-bc219</v>
      </c>
      <c r="E469" s="46" t="str">
        <f aca="true">OFFSET(plates!$B$44,CODE(LEFT(B469,1))-64,MID(B469,2,3)+0)&amp;""</f>
        <v/>
      </c>
      <c r="F469" s="46"/>
      <c r="G469" s="47"/>
      <c r="H469" s="47"/>
    </row>
    <row r="470" customFormat="false" ht="12.8" hidden="false" customHeight="false" outlineLevel="0" collapsed="false">
      <c r="A470" s="44" t="n">
        <v>5</v>
      </c>
      <c r="B470" s="44" t="s">
        <v>242</v>
      </c>
      <c r="C470" s="44" t="s">
        <v>158</v>
      </c>
      <c r="D470" s="45" t="str">
        <f aca="true">OFFSET(plates!$B$44,CODE(LEFT(B470,1))-64,-1)&amp;"-"&amp;OFFSET(plates!$B$4,-1,MID(B470,2,3)+0)</f>
        <v>bc485-bc219</v>
      </c>
      <c r="E470" s="46" t="str">
        <f aca="true">OFFSET(plates!$B$44,CODE(LEFT(B470,1))-64,MID(B470,2,3)+0)&amp;""</f>
        <v/>
      </c>
      <c r="F470" s="46"/>
      <c r="G470" s="47"/>
      <c r="H470" s="47"/>
    </row>
    <row r="471" customFormat="false" ht="12.8" hidden="false" customHeight="false" outlineLevel="0" collapsed="false">
      <c r="A471" s="44" t="n">
        <v>5</v>
      </c>
      <c r="B471" s="44" t="s">
        <v>243</v>
      </c>
      <c r="C471" s="44" t="s">
        <v>158</v>
      </c>
      <c r="D471" s="45" t="str">
        <f aca="true">OFFSET(plates!$B$44,CODE(LEFT(B471,1))-64,-1)&amp;"-"&amp;OFFSET(plates!$B$4,-1,MID(B471,2,3)+0)</f>
        <v>bc486-bc219</v>
      </c>
      <c r="E471" s="46" t="str">
        <f aca="true">OFFSET(plates!$B$44,CODE(LEFT(B471,1))-64,MID(B471,2,3)+0)&amp;""</f>
        <v/>
      </c>
      <c r="F471" s="46"/>
      <c r="G471" s="47"/>
      <c r="H471" s="47"/>
    </row>
    <row r="472" customFormat="false" ht="12.8" hidden="false" customHeight="false" outlineLevel="0" collapsed="false">
      <c r="A472" s="44" t="n">
        <v>5</v>
      </c>
      <c r="B472" s="44" t="s">
        <v>244</v>
      </c>
      <c r="C472" s="44" t="s">
        <v>158</v>
      </c>
      <c r="D472" s="45" t="str">
        <f aca="true">OFFSET(plates!$B$44,CODE(LEFT(B472,1))-64,-1)&amp;"-"&amp;OFFSET(plates!$B$4,-1,MID(B472,2,3)+0)</f>
        <v>bc494-bc219</v>
      </c>
      <c r="E472" s="46" t="str">
        <f aca="true">OFFSET(plates!$B$44,CODE(LEFT(B472,1))-64,MID(B472,2,3)+0)&amp;""</f>
        <v/>
      </c>
      <c r="F472" s="46"/>
      <c r="G472" s="47"/>
      <c r="H472" s="47"/>
    </row>
    <row r="473" customFormat="false" ht="12.8" hidden="false" customHeight="false" outlineLevel="0" collapsed="false">
      <c r="A473" s="44" t="n">
        <v>5</v>
      </c>
      <c r="B473" s="44" t="s">
        <v>245</v>
      </c>
      <c r="C473" s="44" t="s">
        <v>158</v>
      </c>
      <c r="D473" s="45" t="str">
        <f aca="true">OFFSET(plates!$B$44,CODE(LEFT(B473,1))-64,-1)&amp;"-"&amp;OFFSET(plates!$B$4,-1,MID(B473,2,3)+0)</f>
        <v>bc538-bc219</v>
      </c>
      <c r="E473" s="46" t="str">
        <f aca="true">OFFSET(plates!$B$44,CODE(LEFT(B473,1))-64,MID(B473,2,3)+0)&amp;""</f>
        <v/>
      </c>
      <c r="F473" s="46"/>
      <c r="G473" s="47"/>
      <c r="H473" s="47"/>
    </row>
    <row r="474" customFormat="false" ht="12.8" hidden="false" customHeight="false" outlineLevel="0" collapsed="false">
      <c r="A474" s="44" t="n">
        <v>5</v>
      </c>
      <c r="B474" s="44" t="s">
        <v>246</v>
      </c>
      <c r="C474" s="44" t="s">
        <v>158</v>
      </c>
      <c r="D474" s="45" t="str">
        <f aca="true">OFFSET(plates!$B$44,CODE(LEFT(B474,1))-64,-1)&amp;"-"&amp;OFFSET(plates!$B$4,-1,MID(B474,2,3)+0)</f>
        <v>bc411-bc245</v>
      </c>
      <c r="E474" s="46" t="str">
        <f aca="true">OFFSET(plates!$B$44,CODE(LEFT(B474,1))-64,MID(B474,2,3)+0)&amp;""</f>
        <v/>
      </c>
      <c r="F474" s="46"/>
      <c r="G474" s="47"/>
      <c r="H474" s="47"/>
    </row>
    <row r="475" customFormat="false" ht="12.8" hidden="false" customHeight="false" outlineLevel="0" collapsed="false">
      <c r="A475" s="44" t="n">
        <v>5</v>
      </c>
      <c r="B475" s="44" t="s">
        <v>247</v>
      </c>
      <c r="C475" s="44" t="s">
        <v>158</v>
      </c>
      <c r="D475" s="45" t="str">
        <f aca="true">OFFSET(plates!$B$44,CODE(LEFT(B475,1))-64,-1)&amp;"-"&amp;OFFSET(plates!$B$4,-1,MID(B475,2,3)+0)</f>
        <v>bc418-bc245</v>
      </c>
      <c r="E475" s="46" t="str">
        <f aca="true">OFFSET(plates!$B$44,CODE(LEFT(B475,1))-64,MID(B475,2,3)+0)&amp;""</f>
        <v/>
      </c>
      <c r="F475" s="46"/>
      <c r="G475" s="47"/>
      <c r="H475" s="47"/>
    </row>
    <row r="476" customFormat="false" ht="12.8" hidden="false" customHeight="false" outlineLevel="0" collapsed="false">
      <c r="A476" s="44" t="n">
        <v>5</v>
      </c>
      <c r="B476" s="44" t="s">
        <v>248</v>
      </c>
      <c r="C476" s="44" t="s">
        <v>158</v>
      </c>
      <c r="D476" s="45" t="str">
        <f aca="true">OFFSET(plates!$B$44,CODE(LEFT(B476,1))-64,-1)&amp;"-"&amp;OFFSET(plates!$B$4,-1,MID(B476,2,3)+0)</f>
        <v>bc449-bc245</v>
      </c>
      <c r="E476" s="46" t="str">
        <f aca="true">OFFSET(plates!$B$44,CODE(LEFT(B476,1))-64,MID(B476,2,3)+0)&amp;""</f>
        <v/>
      </c>
      <c r="F476" s="46"/>
      <c r="G476" s="47"/>
      <c r="H476" s="47"/>
    </row>
    <row r="477" customFormat="false" ht="12.8" hidden="false" customHeight="false" outlineLevel="0" collapsed="false">
      <c r="A477" s="44" t="n">
        <v>5</v>
      </c>
      <c r="B477" s="44" t="s">
        <v>249</v>
      </c>
      <c r="C477" s="44" t="s">
        <v>158</v>
      </c>
      <c r="D477" s="45" t="str">
        <f aca="true">OFFSET(plates!$B$44,CODE(LEFT(B477,1))-64,-1)&amp;"-"&amp;OFFSET(plates!$B$4,-1,MID(B477,2,3)+0)</f>
        <v>bc462-bc245</v>
      </c>
      <c r="E477" s="46" t="str">
        <f aca="true">OFFSET(plates!$B$44,CODE(LEFT(B477,1))-64,MID(B477,2,3)+0)&amp;""</f>
        <v/>
      </c>
      <c r="F477" s="46"/>
      <c r="G477" s="47"/>
      <c r="H477" s="47"/>
    </row>
    <row r="478" customFormat="false" ht="12.8" hidden="false" customHeight="false" outlineLevel="0" collapsed="false">
      <c r="A478" s="44" t="n">
        <v>5</v>
      </c>
      <c r="B478" s="44" t="s">
        <v>250</v>
      </c>
      <c r="C478" s="44" t="s">
        <v>158</v>
      </c>
      <c r="D478" s="45" t="str">
        <f aca="true">OFFSET(plates!$B$44,CODE(LEFT(B478,1))-64,-1)&amp;"-"&amp;OFFSET(plates!$B$4,-1,MID(B478,2,3)+0)</f>
        <v>bc485-bc245</v>
      </c>
      <c r="E478" s="46" t="str">
        <f aca="true">OFFSET(plates!$B$44,CODE(LEFT(B478,1))-64,MID(B478,2,3)+0)&amp;""</f>
        <v/>
      </c>
      <c r="F478" s="46"/>
      <c r="G478" s="47"/>
      <c r="H478" s="47"/>
    </row>
    <row r="479" customFormat="false" ht="12.8" hidden="false" customHeight="false" outlineLevel="0" collapsed="false">
      <c r="A479" s="44" t="n">
        <v>5</v>
      </c>
      <c r="B479" s="44" t="s">
        <v>251</v>
      </c>
      <c r="C479" s="44" t="s">
        <v>158</v>
      </c>
      <c r="D479" s="45" t="str">
        <f aca="true">OFFSET(plates!$B$44,CODE(LEFT(B479,1))-64,-1)&amp;"-"&amp;OFFSET(plates!$B$4,-1,MID(B479,2,3)+0)</f>
        <v>bc486-bc245</v>
      </c>
      <c r="E479" s="46" t="str">
        <f aca="true">OFFSET(plates!$B$44,CODE(LEFT(B479,1))-64,MID(B479,2,3)+0)&amp;""</f>
        <v/>
      </c>
      <c r="F479" s="46"/>
      <c r="G479" s="47"/>
      <c r="H479" s="47"/>
      <c r="I479" s="36"/>
      <c r="J479" s="36"/>
      <c r="K479" s="36"/>
      <c r="L479" s="36"/>
      <c r="M479" s="36"/>
    </row>
    <row r="480" customFormat="false" ht="12.8" hidden="false" customHeight="false" outlineLevel="0" collapsed="false">
      <c r="A480" s="44" t="n">
        <v>5</v>
      </c>
      <c r="B480" s="44" t="s">
        <v>252</v>
      </c>
      <c r="C480" s="44" t="s">
        <v>158</v>
      </c>
      <c r="D480" s="45" t="str">
        <f aca="true">OFFSET(plates!$B$44,CODE(LEFT(B480,1))-64,-1)&amp;"-"&amp;OFFSET(plates!$B$4,-1,MID(B480,2,3)+0)</f>
        <v>bc494-bc245</v>
      </c>
      <c r="E480" s="46" t="str">
        <f aca="true">OFFSET(plates!$B$44,CODE(LEFT(B480,1))-64,MID(B480,2,3)+0)&amp;""</f>
        <v/>
      </c>
      <c r="F480" s="46"/>
      <c r="G480" s="47"/>
      <c r="H480" s="47"/>
    </row>
    <row r="481" customFormat="false" ht="12.8" hidden="false" customHeight="false" outlineLevel="0" collapsed="false">
      <c r="A481" s="44" t="n">
        <v>5</v>
      </c>
      <c r="B481" s="44" t="s">
        <v>253</v>
      </c>
      <c r="C481" s="44" t="s">
        <v>158</v>
      </c>
      <c r="D481" s="45" t="str">
        <f aca="true">OFFSET(plates!$B$44,CODE(LEFT(B481,1))-64,-1)&amp;"-"&amp;OFFSET(plates!$B$4,-1,MID(B481,2,3)+0)</f>
        <v>bc538-bc245</v>
      </c>
      <c r="E481" s="46" t="str">
        <f aca="true">OFFSET(plates!$B$44,CODE(LEFT(B481,1))-64,MID(B481,2,3)+0)&amp;""</f>
        <v/>
      </c>
      <c r="F481" s="46"/>
      <c r="G481" s="47"/>
      <c r="H481" s="47"/>
      <c r="I481" s="36"/>
      <c r="J481" s="36"/>
      <c r="K481" s="36"/>
    </row>
    <row r="482" customFormat="false" ht="12.8" hidden="false" customHeight="false" outlineLevel="0" collapsed="false">
      <c r="A482" s="44" t="n">
        <v>6</v>
      </c>
      <c r="B482" s="44" t="s">
        <v>157</v>
      </c>
      <c r="C482" s="44" t="s">
        <v>158</v>
      </c>
      <c r="D482" s="45" t="str">
        <f aca="true">OFFSET(plates!$B$55,CODE(LEFT(B482,1))-64,-1)&amp;"-"&amp;OFFSET(plates!$B$55,-1,MID(B482,2,3)+0)</f>
        <v>bc018-bc247</v>
      </c>
      <c r="E482" s="46" t="str">
        <f aca="true">OFFSET(plates!$B$55,CODE(LEFT(B482,1))-64,MID(B482,2,3)+0)&amp;""</f>
        <v/>
      </c>
      <c r="F482" s="46"/>
      <c r="G482" s="47"/>
      <c r="H482" s="47"/>
    </row>
    <row r="483" customFormat="false" ht="12.8" hidden="false" customHeight="false" outlineLevel="0" collapsed="false">
      <c r="A483" s="44" t="n">
        <v>6</v>
      </c>
      <c r="B483" s="44" t="s">
        <v>159</v>
      </c>
      <c r="C483" s="44" t="s">
        <v>158</v>
      </c>
      <c r="D483" s="45" t="str">
        <f aca="true">OFFSET(plates!$B$55,CODE(LEFT(B483,1))-64,-1)&amp;"-"&amp;OFFSET(plates!$B$55,-1,MID(B483,2,3)+0)</f>
        <v>bc060-bc247</v>
      </c>
      <c r="E483" s="46" t="str">
        <f aca="true">OFFSET(plates!$B$55,CODE(LEFT(B483,1))-64,MID(B483,2,3)+0)&amp;""</f>
        <v/>
      </c>
      <c r="F483" s="46"/>
      <c r="G483" s="47"/>
      <c r="H483" s="47"/>
    </row>
    <row r="484" customFormat="false" ht="12.8" hidden="false" customHeight="false" outlineLevel="0" collapsed="false">
      <c r="A484" s="44" t="n">
        <v>6</v>
      </c>
      <c r="B484" s="44" t="s">
        <v>160</v>
      </c>
      <c r="C484" s="44" t="s">
        <v>158</v>
      </c>
      <c r="D484" s="45" t="str">
        <f aca="true">OFFSET(plates!$B$55,CODE(LEFT(B484,1))-64,-1)&amp;"-"&amp;OFFSET(plates!$B$55,-1,MID(B484,2,3)+0)</f>
        <v>bc061-bc247</v>
      </c>
      <c r="E484" s="46" t="str">
        <f aca="true">OFFSET(plates!$B$55,CODE(LEFT(B484,1))-64,MID(B484,2,3)+0)&amp;""</f>
        <v/>
      </c>
      <c r="F484" s="46"/>
      <c r="G484" s="47"/>
      <c r="H484" s="47"/>
    </row>
    <row r="485" customFormat="false" ht="12.8" hidden="false" customHeight="false" outlineLevel="0" collapsed="false">
      <c r="A485" s="44" t="n">
        <v>6</v>
      </c>
      <c r="B485" s="44" t="s">
        <v>161</v>
      </c>
      <c r="C485" s="44" t="s">
        <v>158</v>
      </c>
      <c r="D485" s="45" t="str">
        <f aca="true">OFFSET(plates!$B$55,CODE(LEFT(B485,1))-64,-1)&amp;"-"&amp;OFFSET(plates!$B$55,-1,MID(B485,2,3)+0)</f>
        <v>bc062-bc247</v>
      </c>
      <c r="E485" s="46" t="str">
        <f aca="true">OFFSET(plates!$B$55,CODE(LEFT(B485,1))-64,MID(B485,2,3)+0)&amp;""</f>
        <v/>
      </c>
      <c r="F485" s="46"/>
      <c r="G485" s="47"/>
      <c r="H485" s="47"/>
    </row>
    <row r="486" customFormat="false" ht="12.8" hidden="false" customHeight="false" outlineLevel="0" collapsed="false">
      <c r="A486" s="44" t="n">
        <v>6</v>
      </c>
      <c r="B486" s="44" t="s">
        <v>162</v>
      </c>
      <c r="C486" s="44" t="s">
        <v>158</v>
      </c>
      <c r="D486" s="45" t="str">
        <f aca="true">OFFSET(plates!$B$55,CODE(LEFT(B486,1))-64,-1)&amp;"-"&amp;OFFSET(plates!$B$55,-1,MID(B486,2,3)+0)</f>
        <v>bc095-bc247</v>
      </c>
      <c r="E486" s="46" t="str">
        <f aca="true">OFFSET(plates!$B$55,CODE(LEFT(B486,1))-64,MID(B486,2,3)+0)&amp;""</f>
        <v/>
      </c>
      <c r="F486" s="46"/>
      <c r="G486" s="47"/>
      <c r="H486" s="47"/>
    </row>
    <row r="487" customFormat="false" ht="12.8" hidden="false" customHeight="false" outlineLevel="0" collapsed="false">
      <c r="A487" s="44" t="n">
        <v>6</v>
      </c>
      <c r="B487" s="44" t="s">
        <v>163</v>
      </c>
      <c r="C487" s="44" t="s">
        <v>158</v>
      </c>
      <c r="D487" s="45" t="str">
        <f aca="true">OFFSET(plates!$B$55,CODE(LEFT(B487,1))-64,-1)&amp;"-"&amp;OFFSET(plates!$B$55,-1,MID(B487,2,3)+0)</f>
        <v>bc139-bc247</v>
      </c>
      <c r="E487" s="46" t="str">
        <f aca="true">OFFSET(plates!$B$55,CODE(LEFT(B487,1))-64,MID(B487,2,3)+0)&amp;""</f>
        <v/>
      </c>
      <c r="F487" s="46"/>
      <c r="G487" s="47"/>
      <c r="H487" s="47"/>
    </row>
    <row r="488" customFormat="false" ht="12.8" hidden="false" customHeight="false" outlineLevel="0" collapsed="false">
      <c r="A488" s="44" t="n">
        <v>6</v>
      </c>
      <c r="B488" s="44" t="s">
        <v>164</v>
      </c>
      <c r="C488" s="44" t="s">
        <v>158</v>
      </c>
      <c r="D488" s="45" t="str">
        <f aca="true">OFFSET(plates!$B$55,CODE(LEFT(B488,1))-64,-1)&amp;"-"&amp;OFFSET(plates!$B$55,-1,MID(B488,2,3)+0)</f>
        <v>bc148-bc247</v>
      </c>
      <c r="E488" s="46" t="str">
        <f aca="true">OFFSET(plates!$B$55,CODE(LEFT(B488,1))-64,MID(B488,2,3)+0)&amp;""</f>
        <v/>
      </c>
      <c r="F488" s="46"/>
      <c r="G488" s="47"/>
      <c r="H488" s="47"/>
    </row>
    <row r="489" customFormat="false" ht="12.8" hidden="false" customHeight="false" outlineLevel="0" collapsed="false">
      <c r="A489" s="44" t="n">
        <v>6</v>
      </c>
      <c r="B489" s="44" t="s">
        <v>165</v>
      </c>
      <c r="C489" s="44" t="s">
        <v>158</v>
      </c>
      <c r="D489" s="45" t="str">
        <f aca="true">OFFSET(plates!$B$55,CODE(LEFT(B489,1))-64,-1)&amp;"-"&amp;OFFSET(plates!$B$55,-1,MID(B489,2,3)+0)</f>
        <v>bc157-bc247</v>
      </c>
      <c r="E489" s="46" t="str">
        <f aca="true">OFFSET(plates!$B$55,CODE(LEFT(B489,1))-64,MID(B489,2,3)+0)&amp;""</f>
        <v/>
      </c>
      <c r="F489" s="46"/>
      <c r="G489" s="47"/>
      <c r="H489" s="47"/>
    </row>
    <row r="490" customFormat="false" ht="12.8" hidden="false" customHeight="false" outlineLevel="0" collapsed="false">
      <c r="A490" s="44" t="n">
        <v>6</v>
      </c>
      <c r="B490" s="44" t="s">
        <v>166</v>
      </c>
      <c r="C490" s="44" t="s">
        <v>158</v>
      </c>
      <c r="D490" s="45" t="str">
        <f aca="true">OFFSET(plates!$B$55,CODE(LEFT(B490,1))-64,-1)&amp;"-"&amp;OFFSET(plates!$B$55,-1,MID(B490,2,3)+0)</f>
        <v>bc018-bc286</v>
      </c>
      <c r="E490" s="46" t="str">
        <f aca="true">OFFSET(plates!$B$55,CODE(LEFT(B490,1))-64,MID(B490,2,3)+0)&amp;""</f>
        <v/>
      </c>
      <c r="F490" s="46"/>
      <c r="G490" s="47"/>
      <c r="H490" s="47"/>
    </row>
    <row r="491" customFormat="false" ht="12.8" hidden="false" customHeight="false" outlineLevel="0" collapsed="false">
      <c r="A491" s="44" t="n">
        <v>6</v>
      </c>
      <c r="B491" s="44" t="s">
        <v>167</v>
      </c>
      <c r="C491" s="44" t="s">
        <v>158</v>
      </c>
      <c r="D491" s="45" t="str">
        <f aca="true">OFFSET(plates!$B$55,CODE(LEFT(B491,1))-64,-1)&amp;"-"&amp;OFFSET(plates!$B$55,-1,MID(B491,2,3)+0)</f>
        <v>bc060-bc286</v>
      </c>
      <c r="E491" s="46" t="str">
        <f aca="true">OFFSET(plates!$B$55,CODE(LEFT(B491,1))-64,MID(B491,2,3)+0)&amp;""</f>
        <v/>
      </c>
      <c r="F491" s="46"/>
      <c r="G491" s="47"/>
      <c r="H491" s="47"/>
    </row>
    <row r="492" customFormat="false" ht="12.8" hidden="false" customHeight="false" outlineLevel="0" collapsed="false">
      <c r="A492" s="44" t="n">
        <v>6</v>
      </c>
      <c r="B492" s="44" t="s">
        <v>168</v>
      </c>
      <c r="C492" s="44" t="s">
        <v>158</v>
      </c>
      <c r="D492" s="45" t="str">
        <f aca="true">OFFSET(plates!$B$55,CODE(LEFT(B492,1))-64,-1)&amp;"-"&amp;OFFSET(plates!$B$55,-1,MID(B492,2,3)+0)</f>
        <v>bc061-bc286</v>
      </c>
      <c r="E492" s="46" t="str">
        <f aca="true">OFFSET(plates!$B$55,CODE(LEFT(B492,1))-64,MID(B492,2,3)+0)&amp;""</f>
        <v/>
      </c>
      <c r="F492" s="46"/>
      <c r="G492" s="47"/>
      <c r="H492" s="47"/>
    </row>
    <row r="493" customFormat="false" ht="12.8" hidden="false" customHeight="false" outlineLevel="0" collapsed="false">
      <c r="A493" s="44" t="n">
        <v>6</v>
      </c>
      <c r="B493" s="44" t="s">
        <v>169</v>
      </c>
      <c r="C493" s="44" t="s">
        <v>158</v>
      </c>
      <c r="D493" s="45" t="str">
        <f aca="true">OFFSET(plates!$B$55,CODE(LEFT(B493,1))-64,-1)&amp;"-"&amp;OFFSET(plates!$B$55,-1,MID(B493,2,3)+0)</f>
        <v>bc062-bc286</v>
      </c>
      <c r="E493" s="46" t="str">
        <f aca="true">OFFSET(plates!$B$55,CODE(LEFT(B493,1))-64,MID(B493,2,3)+0)&amp;""</f>
        <v/>
      </c>
      <c r="F493" s="46"/>
      <c r="G493" s="47"/>
      <c r="H493" s="47"/>
    </row>
    <row r="494" customFormat="false" ht="12.8" hidden="false" customHeight="false" outlineLevel="0" collapsed="false">
      <c r="A494" s="44" t="n">
        <v>6</v>
      </c>
      <c r="B494" s="44" t="s">
        <v>170</v>
      </c>
      <c r="C494" s="44" t="s">
        <v>158</v>
      </c>
      <c r="D494" s="45" t="str">
        <f aca="true">OFFSET(plates!$B$55,CODE(LEFT(B494,1))-64,-1)&amp;"-"&amp;OFFSET(plates!$B$55,-1,MID(B494,2,3)+0)</f>
        <v>bc095-bc286</v>
      </c>
      <c r="E494" s="46" t="str">
        <f aca="true">OFFSET(plates!$B$55,CODE(LEFT(B494,1))-64,MID(B494,2,3)+0)&amp;""</f>
        <v/>
      </c>
      <c r="F494" s="46"/>
      <c r="G494" s="47"/>
      <c r="H494" s="47"/>
    </row>
    <row r="495" customFormat="false" ht="12.8" hidden="false" customHeight="false" outlineLevel="0" collapsed="false">
      <c r="A495" s="44" t="n">
        <v>6</v>
      </c>
      <c r="B495" s="44" t="s">
        <v>171</v>
      </c>
      <c r="C495" s="44" t="s">
        <v>158</v>
      </c>
      <c r="D495" s="45" t="str">
        <f aca="true">OFFSET(plates!$B$55,CODE(LEFT(B495,1))-64,-1)&amp;"-"&amp;OFFSET(plates!$B$55,-1,MID(B495,2,3)+0)</f>
        <v>bc139-bc286</v>
      </c>
      <c r="E495" s="46" t="str">
        <f aca="true">OFFSET(plates!$B$55,CODE(LEFT(B495,1))-64,MID(B495,2,3)+0)&amp;""</f>
        <v/>
      </c>
      <c r="F495" s="46"/>
      <c r="G495" s="47"/>
      <c r="H495" s="47"/>
    </row>
    <row r="496" customFormat="false" ht="12.8" hidden="false" customHeight="false" outlineLevel="0" collapsed="false">
      <c r="A496" s="44" t="n">
        <v>6</v>
      </c>
      <c r="B496" s="44" t="s">
        <v>172</v>
      </c>
      <c r="C496" s="44" t="s">
        <v>158</v>
      </c>
      <c r="D496" s="45" t="str">
        <f aca="true">OFFSET(plates!$B$55,CODE(LEFT(B496,1))-64,-1)&amp;"-"&amp;OFFSET(plates!$B$55,-1,MID(B496,2,3)+0)</f>
        <v>bc148-bc286</v>
      </c>
      <c r="E496" s="46" t="str">
        <f aca="true">OFFSET(plates!$B$55,CODE(LEFT(B496,1))-64,MID(B496,2,3)+0)&amp;""</f>
        <v/>
      </c>
      <c r="F496" s="46"/>
      <c r="G496" s="47"/>
      <c r="H496" s="47"/>
    </row>
    <row r="497" customFormat="false" ht="12.8" hidden="false" customHeight="false" outlineLevel="0" collapsed="false">
      <c r="A497" s="44" t="n">
        <v>6</v>
      </c>
      <c r="B497" s="44" t="s">
        <v>173</v>
      </c>
      <c r="C497" s="44" t="s">
        <v>158</v>
      </c>
      <c r="D497" s="45" t="str">
        <f aca="true">OFFSET(plates!$B$55,CODE(LEFT(B497,1))-64,-1)&amp;"-"&amp;OFFSET(plates!$B$55,-1,MID(B497,2,3)+0)</f>
        <v>bc157-bc286</v>
      </c>
      <c r="E497" s="46" t="str">
        <f aca="true">OFFSET(plates!$B$55,CODE(LEFT(B497,1))-64,MID(B497,2,3)+0)&amp;""</f>
        <v/>
      </c>
      <c r="F497" s="49"/>
      <c r="G497" s="47"/>
      <c r="H497" s="47"/>
    </row>
    <row r="498" customFormat="false" ht="12.8" hidden="false" customHeight="false" outlineLevel="0" collapsed="false">
      <c r="A498" s="44" t="n">
        <v>6</v>
      </c>
      <c r="B498" s="44" t="s">
        <v>174</v>
      </c>
      <c r="C498" s="44" t="s">
        <v>158</v>
      </c>
      <c r="D498" s="45" t="str">
        <f aca="true">OFFSET(plates!$B$55,CODE(LEFT(B498,1))-64,-1)&amp;"-"&amp;OFFSET(plates!$B$55,-1,MID(B498,2,3)+0)</f>
        <v>bc018-bc298</v>
      </c>
      <c r="E498" s="46" t="str">
        <f aca="true">OFFSET(plates!$B$55,CODE(LEFT(B498,1))-64,MID(B498,2,3)+0)&amp;""</f>
        <v/>
      </c>
      <c r="F498" s="46"/>
      <c r="G498" s="47"/>
      <c r="H498" s="47"/>
    </row>
    <row r="499" customFormat="false" ht="12.8" hidden="false" customHeight="false" outlineLevel="0" collapsed="false">
      <c r="A499" s="44" t="n">
        <v>6</v>
      </c>
      <c r="B499" s="44" t="s">
        <v>175</v>
      </c>
      <c r="C499" s="44" t="s">
        <v>158</v>
      </c>
      <c r="D499" s="45" t="str">
        <f aca="true">OFFSET(plates!$B$55,CODE(LEFT(B499,1))-64,-1)&amp;"-"&amp;OFFSET(plates!$B$55,-1,MID(B499,2,3)+0)</f>
        <v>bc060-bc298</v>
      </c>
      <c r="E499" s="46" t="str">
        <f aca="true">OFFSET(plates!$B$55,CODE(LEFT(B499,1))-64,MID(B499,2,3)+0)&amp;""</f>
        <v/>
      </c>
      <c r="F499" s="46"/>
      <c r="G499" s="47"/>
      <c r="H499" s="47"/>
    </row>
    <row r="500" customFormat="false" ht="12.8" hidden="false" customHeight="false" outlineLevel="0" collapsed="false">
      <c r="A500" s="44" t="n">
        <v>6</v>
      </c>
      <c r="B500" s="44" t="s">
        <v>176</v>
      </c>
      <c r="C500" s="44" t="s">
        <v>158</v>
      </c>
      <c r="D500" s="45" t="str">
        <f aca="true">OFFSET(plates!$B$55,CODE(LEFT(B500,1))-64,-1)&amp;"-"&amp;OFFSET(plates!$B$55,-1,MID(B500,2,3)+0)</f>
        <v>bc061-bc298</v>
      </c>
      <c r="E500" s="46" t="str">
        <f aca="true">OFFSET(plates!$B$55,CODE(LEFT(B500,1))-64,MID(B500,2,3)+0)&amp;""</f>
        <v/>
      </c>
      <c r="F500" s="46"/>
      <c r="G500" s="47"/>
      <c r="H500" s="47"/>
    </row>
    <row r="501" customFormat="false" ht="12.8" hidden="false" customHeight="false" outlineLevel="0" collapsed="false">
      <c r="A501" s="44" t="n">
        <v>6</v>
      </c>
      <c r="B501" s="44" t="s">
        <v>177</v>
      </c>
      <c r="C501" s="44" t="s">
        <v>158</v>
      </c>
      <c r="D501" s="45" t="str">
        <f aca="true">OFFSET(plates!$B$55,CODE(LEFT(B501,1))-64,-1)&amp;"-"&amp;OFFSET(plates!$B$55,-1,MID(B501,2,3)+0)</f>
        <v>bc062-bc298</v>
      </c>
      <c r="E501" s="46" t="str">
        <f aca="true">OFFSET(plates!$B$55,CODE(LEFT(B501,1))-64,MID(B501,2,3)+0)&amp;""</f>
        <v/>
      </c>
      <c r="F501" s="46"/>
      <c r="G501" s="47"/>
      <c r="H501" s="47"/>
    </row>
    <row r="502" customFormat="false" ht="12.8" hidden="false" customHeight="false" outlineLevel="0" collapsed="false">
      <c r="A502" s="44" t="n">
        <v>6</v>
      </c>
      <c r="B502" s="44" t="s">
        <v>178</v>
      </c>
      <c r="C502" s="44" t="s">
        <v>158</v>
      </c>
      <c r="D502" s="45" t="str">
        <f aca="true">OFFSET(plates!$B$55,CODE(LEFT(B502,1))-64,-1)&amp;"-"&amp;OFFSET(plates!$B$55,-1,MID(B502,2,3)+0)</f>
        <v>bc095-bc298</v>
      </c>
      <c r="E502" s="46" t="str">
        <f aca="true">OFFSET(plates!$B$55,CODE(LEFT(B502,1))-64,MID(B502,2,3)+0)&amp;""</f>
        <v/>
      </c>
      <c r="F502" s="46"/>
      <c r="G502" s="47"/>
      <c r="H502" s="47"/>
    </row>
    <row r="503" customFormat="false" ht="12.8" hidden="false" customHeight="false" outlineLevel="0" collapsed="false">
      <c r="A503" s="44" t="n">
        <v>6</v>
      </c>
      <c r="B503" s="44" t="s">
        <v>179</v>
      </c>
      <c r="C503" s="44" t="s">
        <v>158</v>
      </c>
      <c r="D503" s="45" t="str">
        <f aca="true">OFFSET(plates!$B$55,CODE(LEFT(B503,1))-64,-1)&amp;"-"&amp;OFFSET(plates!$B$55,-1,MID(B503,2,3)+0)</f>
        <v>bc139-bc298</v>
      </c>
      <c r="E503" s="46" t="str">
        <f aca="true">OFFSET(plates!$B$55,CODE(LEFT(B503,1))-64,MID(B503,2,3)+0)&amp;""</f>
        <v/>
      </c>
      <c r="F503" s="46"/>
      <c r="G503" s="47"/>
      <c r="H503" s="47"/>
    </row>
    <row r="504" customFormat="false" ht="12.8" hidden="false" customHeight="false" outlineLevel="0" collapsed="false">
      <c r="A504" s="44" t="n">
        <v>6</v>
      </c>
      <c r="B504" s="44" t="s">
        <v>180</v>
      </c>
      <c r="C504" s="44" t="s">
        <v>158</v>
      </c>
      <c r="D504" s="45" t="str">
        <f aca="true">OFFSET(plates!$B$55,CODE(LEFT(B504,1))-64,-1)&amp;"-"&amp;OFFSET(plates!$B$55,-1,MID(B504,2,3)+0)</f>
        <v>bc148-bc298</v>
      </c>
      <c r="E504" s="46" t="str">
        <f aca="true">OFFSET(plates!$B$55,CODE(LEFT(B504,1))-64,MID(B504,2,3)+0)&amp;""</f>
        <v/>
      </c>
      <c r="F504" s="46"/>
      <c r="G504" s="47"/>
      <c r="H504" s="47"/>
    </row>
    <row r="505" customFormat="false" ht="12.8" hidden="false" customHeight="false" outlineLevel="0" collapsed="false">
      <c r="A505" s="44" t="n">
        <v>6</v>
      </c>
      <c r="B505" s="44" t="s">
        <v>181</v>
      </c>
      <c r="C505" s="44" t="s">
        <v>158</v>
      </c>
      <c r="D505" s="45" t="str">
        <f aca="true">OFFSET(plates!$B$55,CODE(LEFT(B505,1))-64,-1)&amp;"-"&amp;OFFSET(plates!$B$55,-1,MID(B505,2,3)+0)</f>
        <v>bc157-bc298</v>
      </c>
      <c r="E505" s="46" t="str">
        <f aca="true">OFFSET(plates!$B$55,CODE(LEFT(B505,1))-64,MID(B505,2,3)+0)&amp;""</f>
        <v/>
      </c>
      <c r="F505" s="46"/>
      <c r="G505" s="47"/>
      <c r="H505" s="47"/>
    </row>
    <row r="506" customFormat="false" ht="12.8" hidden="false" customHeight="false" outlineLevel="0" collapsed="false">
      <c r="A506" s="44" t="n">
        <v>6</v>
      </c>
      <c r="B506" s="44" t="s">
        <v>182</v>
      </c>
      <c r="C506" s="44" t="s">
        <v>158</v>
      </c>
      <c r="D506" s="45" t="str">
        <f aca="true">OFFSET(plates!$B$55,CODE(LEFT(B506,1))-64,-1)&amp;"-"&amp;OFFSET(plates!$B$55,-1,MID(B506,2,3)+0)</f>
        <v>bc018-bc310</v>
      </c>
      <c r="E506" s="46" t="str">
        <f aca="true">OFFSET(plates!$B$55,CODE(LEFT(B506,1))-64,MID(B506,2,3)+0)&amp;""</f>
        <v/>
      </c>
      <c r="F506" s="46"/>
      <c r="G506" s="47"/>
      <c r="H506" s="47"/>
    </row>
    <row r="507" customFormat="false" ht="12.8" hidden="false" customHeight="false" outlineLevel="0" collapsed="false">
      <c r="A507" s="44" t="n">
        <v>6</v>
      </c>
      <c r="B507" s="44" t="s">
        <v>183</v>
      </c>
      <c r="C507" s="44" t="s">
        <v>158</v>
      </c>
      <c r="D507" s="45" t="str">
        <f aca="true">OFFSET(plates!$B$55,CODE(LEFT(B507,1))-64,-1)&amp;"-"&amp;OFFSET(plates!$B$55,-1,MID(B507,2,3)+0)</f>
        <v>bc060-bc310</v>
      </c>
      <c r="E507" s="46" t="str">
        <f aca="true">OFFSET(plates!$B$55,CODE(LEFT(B507,1))-64,MID(B507,2,3)+0)&amp;""</f>
        <v/>
      </c>
      <c r="F507" s="46"/>
      <c r="G507" s="47"/>
      <c r="H507" s="47"/>
    </row>
    <row r="508" customFormat="false" ht="12.8" hidden="false" customHeight="false" outlineLevel="0" collapsed="false">
      <c r="A508" s="44" t="n">
        <v>6</v>
      </c>
      <c r="B508" s="44" t="s">
        <v>184</v>
      </c>
      <c r="C508" s="44" t="s">
        <v>158</v>
      </c>
      <c r="D508" s="45" t="str">
        <f aca="true">OFFSET(plates!$B$55,CODE(LEFT(B508,1))-64,-1)&amp;"-"&amp;OFFSET(plates!$B$55,-1,MID(B508,2,3)+0)</f>
        <v>bc061-bc310</v>
      </c>
      <c r="E508" s="46" t="str">
        <f aca="true">OFFSET(plates!$B$55,CODE(LEFT(B508,1))-64,MID(B508,2,3)+0)&amp;""</f>
        <v/>
      </c>
      <c r="F508" s="46"/>
      <c r="G508" s="47"/>
      <c r="H508" s="47"/>
    </row>
    <row r="509" customFormat="false" ht="12.8" hidden="false" customHeight="false" outlineLevel="0" collapsed="false">
      <c r="A509" s="44" t="n">
        <v>6</v>
      </c>
      <c r="B509" s="44" t="s">
        <v>185</v>
      </c>
      <c r="C509" s="44" t="s">
        <v>158</v>
      </c>
      <c r="D509" s="45" t="str">
        <f aca="true">OFFSET(plates!$B$55,CODE(LEFT(B509,1))-64,-1)&amp;"-"&amp;OFFSET(plates!$B$55,-1,MID(B509,2,3)+0)</f>
        <v>bc062-bc310</v>
      </c>
      <c r="E509" s="46" t="str">
        <f aca="true">OFFSET(plates!$B$55,CODE(LEFT(B509,1))-64,MID(B509,2,3)+0)&amp;""</f>
        <v/>
      </c>
      <c r="F509" s="46"/>
      <c r="G509" s="47"/>
      <c r="H509" s="47"/>
    </row>
    <row r="510" customFormat="false" ht="12.8" hidden="false" customHeight="false" outlineLevel="0" collapsed="false">
      <c r="A510" s="44" t="n">
        <v>6</v>
      </c>
      <c r="B510" s="44" t="s">
        <v>186</v>
      </c>
      <c r="C510" s="44" t="s">
        <v>158</v>
      </c>
      <c r="D510" s="45" t="str">
        <f aca="true">OFFSET(plates!$B$55,CODE(LEFT(B510,1))-64,-1)&amp;"-"&amp;OFFSET(plates!$B$55,-1,MID(B510,2,3)+0)</f>
        <v>bc095-bc310</v>
      </c>
      <c r="E510" s="46" t="str">
        <f aca="true">OFFSET(plates!$B$55,CODE(LEFT(B510,1))-64,MID(B510,2,3)+0)&amp;""</f>
        <v/>
      </c>
      <c r="F510" s="46"/>
      <c r="G510" s="47"/>
      <c r="H510" s="47"/>
    </row>
    <row r="511" customFormat="false" ht="12.8" hidden="false" customHeight="false" outlineLevel="0" collapsed="false">
      <c r="A511" s="44" t="n">
        <v>6</v>
      </c>
      <c r="B511" s="44" t="s">
        <v>187</v>
      </c>
      <c r="C511" s="44" t="s">
        <v>158</v>
      </c>
      <c r="D511" s="45" t="str">
        <f aca="true">OFFSET(plates!$B$55,CODE(LEFT(B511,1))-64,-1)&amp;"-"&amp;OFFSET(plates!$B$55,-1,MID(B511,2,3)+0)</f>
        <v>bc139-bc310</v>
      </c>
      <c r="E511" s="46" t="str">
        <f aca="true">OFFSET(plates!$B$55,CODE(LEFT(B511,1))-64,MID(B511,2,3)+0)&amp;""</f>
        <v/>
      </c>
      <c r="F511" s="46"/>
      <c r="G511" s="47"/>
      <c r="H511" s="47"/>
    </row>
    <row r="512" customFormat="false" ht="12.8" hidden="false" customHeight="false" outlineLevel="0" collapsed="false">
      <c r="A512" s="44" t="n">
        <v>6</v>
      </c>
      <c r="B512" s="44" t="s">
        <v>188</v>
      </c>
      <c r="C512" s="44" t="s">
        <v>158</v>
      </c>
      <c r="D512" s="45" t="str">
        <f aca="true">OFFSET(plates!$B$55,CODE(LEFT(B512,1))-64,-1)&amp;"-"&amp;OFFSET(plates!$B$55,-1,MID(B512,2,3)+0)</f>
        <v>bc148-bc310</v>
      </c>
      <c r="E512" s="46" t="str">
        <f aca="true">OFFSET(plates!$B$55,CODE(LEFT(B512,1))-64,MID(B512,2,3)+0)&amp;""</f>
        <v/>
      </c>
      <c r="F512" s="46"/>
      <c r="G512" s="47"/>
      <c r="H512" s="47"/>
    </row>
    <row r="513" customFormat="false" ht="12.8" hidden="false" customHeight="false" outlineLevel="0" collapsed="false">
      <c r="A513" s="44" t="n">
        <v>6</v>
      </c>
      <c r="B513" s="44" t="s">
        <v>189</v>
      </c>
      <c r="C513" s="44" t="s">
        <v>158</v>
      </c>
      <c r="D513" s="45" t="str">
        <f aca="true">OFFSET(plates!$B$55,CODE(LEFT(B513,1))-64,-1)&amp;"-"&amp;OFFSET(plates!$B$55,-1,MID(B513,2,3)+0)</f>
        <v>bc157-bc310</v>
      </c>
      <c r="E513" s="46" t="str">
        <f aca="true">OFFSET(plates!$B$55,CODE(LEFT(B513,1))-64,MID(B513,2,3)+0)&amp;""</f>
        <v/>
      </c>
      <c r="F513" s="46"/>
      <c r="G513" s="47"/>
      <c r="H513" s="47"/>
    </row>
    <row r="514" customFormat="false" ht="12.8" hidden="false" customHeight="false" outlineLevel="0" collapsed="false">
      <c r="A514" s="44" t="n">
        <v>6</v>
      </c>
      <c r="B514" s="44" t="s">
        <v>190</v>
      </c>
      <c r="C514" s="44" t="s">
        <v>158</v>
      </c>
      <c r="D514" s="45" t="str">
        <f aca="true">OFFSET(plates!$B$55,CODE(LEFT(B514,1))-64,-1)&amp;"-"&amp;OFFSET(plates!$B$55,-1,MID(B514,2,3)+0)</f>
        <v>bc018-bc314</v>
      </c>
      <c r="E514" s="46" t="str">
        <f aca="true">OFFSET(plates!$B$55,CODE(LEFT(B514,1))-64,MID(B514,2,3)+0)&amp;""</f>
        <v/>
      </c>
      <c r="F514" s="46"/>
      <c r="G514" s="47"/>
      <c r="H514" s="47"/>
    </row>
    <row r="515" customFormat="false" ht="12.8" hidden="false" customHeight="false" outlineLevel="0" collapsed="false">
      <c r="A515" s="44" t="n">
        <v>6</v>
      </c>
      <c r="B515" s="44" t="s">
        <v>191</v>
      </c>
      <c r="C515" s="44" t="s">
        <v>158</v>
      </c>
      <c r="D515" s="45" t="str">
        <f aca="true">OFFSET(plates!$B$55,CODE(LEFT(B515,1))-64,-1)&amp;"-"&amp;OFFSET(plates!$B$55,-1,MID(B515,2,3)+0)</f>
        <v>bc060-bc314</v>
      </c>
      <c r="E515" s="46" t="str">
        <f aca="true">OFFSET(plates!$B$55,CODE(LEFT(B515,1))-64,MID(B515,2,3)+0)&amp;""</f>
        <v/>
      </c>
      <c r="F515" s="46"/>
      <c r="G515" s="47"/>
      <c r="H515" s="47"/>
    </row>
    <row r="516" customFormat="false" ht="12.8" hidden="false" customHeight="false" outlineLevel="0" collapsed="false">
      <c r="A516" s="44" t="n">
        <v>6</v>
      </c>
      <c r="B516" s="44" t="s">
        <v>192</v>
      </c>
      <c r="C516" s="44" t="s">
        <v>158</v>
      </c>
      <c r="D516" s="45" t="str">
        <f aca="true">OFFSET(plates!$B$55,CODE(LEFT(B516,1))-64,-1)&amp;"-"&amp;OFFSET(plates!$B$55,-1,MID(B516,2,3)+0)</f>
        <v>bc061-bc314</v>
      </c>
      <c r="E516" s="46" t="str">
        <f aca="true">OFFSET(plates!$B$55,CODE(LEFT(B516,1))-64,MID(B516,2,3)+0)&amp;""</f>
        <v/>
      </c>
      <c r="F516" s="46"/>
      <c r="G516" s="47"/>
      <c r="H516" s="47"/>
    </row>
    <row r="517" customFormat="false" ht="12.8" hidden="false" customHeight="false" outlineLevel="0" collapsed="false">
      <c r="A517" s="44" t="n">
        <v>6</v>
      </c>
      <c r="B517" s="44" t="s">
        <v>193</v>
      </c>
      <c r="C517" s="44" t="s">
        <v>158</v>
      </c>
      <c r="D517" s="45" t="str">
        <f aca="true">OFFSET(plates!$B$55,CODE(LEFT(B517,1))-64,-1)&amp;"-"&amp;OFFSET(plates!$B$55,-1,MID(B517,2,3)+0)</f>
        <v>bc062-bc314</v>
      </c>
      <c r="E517" s="46" t="str">
        <f aca="true">OFFSET(plates!$B$55,CODE(LEFT(B517,1))-64,MID(B517,2,3)+0)&amp;""</f>
        <v/>
      </c>
      <c r="F517" s="46"/>
      <c r="G517" s="47"/>
      <c r="H517" s="47"/>
    </row>
    <row r="518" customFormat="false" ht="12.8" hidden="false" customHeight="false" outlineLevel="0" collapsed="false">
      <c r="A518" s="44" t="n">
        <v>6</v>
      </c>
      <c r="B518" s="44" t="s">
        <v>194</v>
      </c>
      <c r="C518" s="44" t="s">
        <v>158</v>
      </c>
      <c r="D518" s="45" t="str">
        <f aca="true">OFFSET(plates!$B$55,CODE(LEFT(B518,1))-64,-1)&amp;"-"&amp;OFFSET(plates!$B$55,-1,MID(B518,2,3)+0)</f>
        <v>bc095-bc314</v>
      </c>
      <c r="E518" s="46" t="str">
        <f aca="true">OFFSET(plates!$B$55,CODE(LEFT(B518,1))-64,MID(B518,2,3)+0)&amp;""</f>
        <v/>
      </c>
      <c r="F518" s="46"/>
      <c r="G518" s="47"/>
      <c r="H518" s="47"/>
    </row>
    <row r="519" customFormat="false" ht="12.8" hidden="false" customHeight="false" outlineLevel="0" collapsed="false">
      <c r="A519" s="44" t="n">
        <v>6</v>
      </c>
      <c r="B519" s="44" t="s">
        <v>195</v>
      </c>
      <c r="C519" s="44" t="s">
        <v>158</v>
      </c>
      <c r="D519" s="45" t="str">
        <f aca="true">OFFSET(plates!$B$55,CODE(LEFT(B519,1))-64,-1)&amp;"-"&amp;OFFSET(plates!$B$55,-1,MID(B519,2,3)+0)</f>
        <v>bc139-bc314</v>
      </c>
      <c r="E519" s="46" t="str">
        <f aca="true">OFFSET(plates!$B$55,CODE(LEFT(B519,1))-64,MID(B519,2,3)+0)&amp;""</f>
        <v/>
      </c>
      <c r="F519" s="46"/>
      <c r="G519" s="47"/>
      <c r="H519" s="47"/>
    </row>
    <row r="520" customFormat="false" ht="12.8" hidden="false" customHeight="false" outlineLevel="0" collapsed="false">
      <c r="A520" s="44" t="n">
        <v>6</v>
      </c>
      <c r="B520" s="44" t="s">
        <v>196</v>
      </c>
      <c r="C520" s="44" t="s">
        <v>158</v>
      </c>
      <c r="D520" s="45" t="str">
        <f aca="true">OFFSET(plates!$B$55,CODE(LEFT(B520,1))-64,-1)&amp;"-"&amp;OFFSET(plates!$B$55,-1,MID(B520,2,3)+0)</f>
        <v>bc148-bc314</v>
      </c>
      <c r="E520" s="46" t="str">
        <f aca="true">OFFSET(plates!$B$55,CODE(LEFT(B520,1))-64,MID(B520,2,3)+0)&amp;""</f>
        <v/>
      </c>
      <c r="F520" s="46"/>
      <c r="G520" s="47"/>
      <c r="H520" s="47"/>
    </row>
    <row r="521" customFormat="false" ht="12.8" hidden="false" customHeight="false" outlineLevel="0" collapsed="false">
      <c r="A521" s="44" t="n">
        <v>6</v>
      </c>
      <c r="B521" s="44" t="s">
        <v>197</v>
      </c>
      <c r="C521" s="44" t="s">
        <v>158</v>
      </c>
      <c r="D521" s="45" t="str">
        <f aca="true">OFFSET(plates!$B$55,CODE(LEFT(B521,1))-64,-1)&amp;"-"&amp;OFFSET(plates!$B$55,-1,MID(B521,2,3)+0)</f>
        <v>bc157-bc314</v>
      </c>
      <c r="E521" s="46" t="str">
        <f aca="true">OFFSET(plates!$B$55,CODE(LEFT(B521,1))-64,MID(B521,2,3)+0)&amp;""</f>
        <v/>
      </c>
      <c r="F521" s="46"/>
      <c r="G521" s="47"/>
      <c r="H521" s="47"/>
    </row>
    <row r="522" customFormat="false" ht="12.8" hidden="false" customHeight="false" outlineLevel="0" collapsed="false">
      <c r="A522" s="44" t="n">
        <v>6</v>
      </c>
      <c r="B522" s="44" t="s">
        <v>198</v>
      </c>
      <c r="C522" s="44" t="s">
        <v>158</v>
      </c>
      <c r="D522" s="45" t="str">
        <f aca="true">OFFSET(plates!$B$55,CODE(LEFT(B522,1))-64,-1)&amp;"-"&amp;OFFSET(plates!$B$55,-1,MID(B522,2,3)+0)</f>
        <v>bc018-bc336</v>
      </c>
      <c r="E522" s="46" t="str">
        <f aca="true">OFFSET(plates!$B$55,CODE(LEFT(B522,1))-64,MID(B522,2,3)+0)&amp;""</f>
        <v/>
      </c>
      <c r="F522" s="46"/>
      <c r="G522" s="47"/>
      <c r="H522" s="47"/>
    </row>
    <row r="523" customFormat="false" ht="12.8" hidden="false" customHeight="false" outlineLevel="0" collapsed="false">
      <c r="A523" s="44" t="n">
        <v>6</v>
      </c>
      <c r="B523" s="44" t="s">
        <v>199</v>
      </c>
      <c r="C523" s="44" t="s">
        <v>158</v>
      </c>
      <c r="D523" s="45" t="str">
        <f aca="true">OFFSET(plates!$B$55,CODE(LEFT(B523,1))-64,-1)&amp;"-"&amp;OFFSET(plates!$B$55,-1,MID(B523,2,3)+0)</f>
        <v>bc060-bc336</v>
      </c>
      <c r="E523" s="46" t="str">
        <f aca="true">OFFSET(plates!$B$55,CODE(LEFT(B523,1))-64,MID(B523,2,3)+0)&amp;""</f>
        <v/>
      </c>
      <c r="F523" s="46"/>
      <c r="G523" s="47"/>
      <c r="H523" s="47"/>
    </row>
    <row r="524" customFormat="false" ht="12.8" hidden="false" customHeight="false" outlineLevel="0" collapsed="false">
      <c r="A524" s="44" t="n">
        <v>6</v>
      </c>
      <c r="B524" s="44" t="s">
        <v>200</v>
      </c>
      <c r="C524" s="44" t="s">
        <v>158</v>
      </c>
      <c r="D524" s="45" t="str">
        <f aca="true">OFFSET(plates!$B$55,CODE(LEFT(B524,1))-64,-1)&amp;"-"&amp;OFFSET(plates!$B$55,-1,MID(B524,2,3)+0)</f>
        <v>bc061-bc336</v>
      </c>
      <c r="E524" s="46" t="str">
        <f aca="true">OFFSET(plates!$B$55,CODE(LEFT(B524,1))-64,MID(B524,2,3)+0)&amp;""</f>
        <v/>
      </c>
      <c r="F524" s="46"/>
      <c r="G524" s="47"/>
      <c r="H524" s="47"/>
    </row>
    <row r="525" customFormat="false" ht="12.8" hidden="false" customHeight="false" outlineLevel="0" collapsed="false">
      <c r="A525" s="44" t="n">
        <v>6</v>
      </c>
      <c r="B525" s="44" t="s">
        <v>201</v>
      </c>
      <c r="C525" s="44" t="s">
        <v>158</v>
      </c>
      <c r="D525" s="45" t="str">
        <f aca="true">OFFSET(plates!$B$55,CODE(LEFT(B525,1))-64,-1)&amp;"-"&amp;OFFSET(plates!$B$55,-1,MID(B525,2,3)+0)</f>
        <v>bc062-bc336</v>
      </c>
      <c r="E525" s="46" t="str">
        <f aca="true">OFFSET(plates!$B$55,CODE(LEFT(B525,1))-64,MID(B525,2,3)+0)&amp;""</f>
        <v/>
      </c>
      <c r="F525" s="46"/>
      <c r="G525" s="47"/>
      <c r="H525" s="47"/>
    </row>
    <row r="526" customFormat="false" ht="12.8" hidden="false" customHeight="false" outlineLevel="0" collapsed="false">
      <c r="A526" s="44" t="n">
        <v>6</v>
      </c>
      <c r="B526" s="44" t="s">
        <v>202</v>
      </c>
      <c r="C526" s="44" t="s">
        <v>158</v>
      </c>
      <c r="D526" s="45" t="str">
        <f aca="true">OFFSET(plates!$B$55,CODE(LEFT(B526,1))-64,-1)&amp;"-"&amp;OFFSET(plates!$B$55,-1,MID(B526,2,3)+0)</f>
        <v>bc095-bc336</v>
      </c>
      <c r="E526" s="46" t="str">
        <f aca="true">OFFSET(plates!$B$55,CODE(LEFT(B526,1))-64,MID(B526,2,3)+0)&amp;""</f>
        <v/>
      </c>
      <c r="F526" s="46"/>
      <c r="G526" s="47"/>
      <c r="H526" s="47"/>
    </row>
    <row r="527" customFormat="false" ht="12.8" hidden="false" customHeight="false" outlineLevel="0" collapsed="false">
      <c r="A527" s="44" t="n">
        <v>6</v>
      </c>
      <c r="B527" s="44" t="s">
        <v>203</v>
      </c>
      <c r="C527" s="44" t="s">
        <v>158</v>
      </c>
      <c r="D527" s="45" t="str">
        <f aca="true">OFFSET(plates!$B$55,CODE(LEFT(B527,1))-64,-1)&amp;"-"&amp;OFFSET(plates!$B$55,-1,MID(B527,2,3)+0)</f>
        <v>bc139-bc336</v>
      </c>
      <c r="E527" s="46" t="str">
        <f aca="true">OFFSET(plates!$B$55,CODE(LEFT(B527,1))-64,MID(B527,2,3)+0)&amp;""</f>
        <v/>
      </c>
      <c r="F527" s="46"/>
      <c r="G527" s="47"/>
      <c r="H527" s="47"/>
    </row>
    <row r="528" customFormat="false" ht="12.8" hidden="false" customHeight="false" outlineLevel="0" collapsed="false">
      <c r="A528" s="44" t="n">
        <v>6</v>
      </c>
      <c r="B528" s="44" t="s">
        <v>204</v>
      </c>
      <c r="C528" s="44" t="s">
        <v>158</v>
      </c>
      <c r="D528" s="45" t="str">
        <f aca="true">OFFSET(plates!$B$55,CODE(LEFT(B528,1))-64,-1)&amp;"-"&amp;OFFSET(plates!$B$55,-1,MID(B528,2,3)+0)</f>
        <v>bc148-bc336</v>
      </c>
      <c r="E528" s="46" t="str">
        <f aca="true">OFFSET(plates!$B$55,CODE(LEFT(B528,1))-64,MID(B528,2,3)+0)&amp;""</f>
        <v/>
      </c>
      <c r="F528" s="46"/>
      <c r="G528" s="47"/>
      <c r="H528" s="47"/>
    </row>
    <row r="529" customFormat="false" ht="12.8" hidden="false" customHeight="false" outlineLevel="0" collapsed="false">
      <c r="A529" s="44" t="n">
        <v>6</v>
      </c>
      <c r="B529" s="44" t="s">
        <v>205</v>
      </c>
      <c r="C529" s="44" t="s">
        <v>158</v>
      </c>
      <c r="D529" s="45" t="str">
        <f aca="true">OFFSET(plates!$B$55,CODE(LEFT(B529,1))-64,-1)&amp;"-"&amp;OFFSET(plates!$B$55,-1,MID(B529,2,3)+0)</f>
        <v>bc157-bc336</v>
      </c>
      <c r="E529" s="46" t="str">
        <f aca="true">OFFSET(plates!$B$55,CODE(LEFT(B529,1))-64,MID(B529,2,3)+0)&amp;""</f>
        <v/>
      </c>
      <c r="F529" s="46"/>
      <c r="G529" s="47"/>
      <c r="H529" s="47"/>
    </row>
    <row r="530" customFormat="false" ht="12.8" hidden="false" customHeight="false" outlineLevel="0" collapsed="false">
      <c r="A530" s="44" t="n">
        <v>6</v>
      </c>
      <c r="B530" s="44" t="s">
        <v>206</v>
      </c>
      <c r="C530" s="44" t="s">
        <v>158</v>
      </c>
      <c r="D530" s="45" t="str">
        <f aca="true">OFFSET(plates!$B$55,CODE(LEFT(B530,1))-64,-1)&amp;"-"&amp;OFFSET(plates!$B$55,-1,MID(B530,2,3)+0)</f>
        <v>bc018-bc365</v>
      </c>
      <c r="E530" s="46" t="str">
        <f aca="true">OFFSET(plates!$B$55,CODE(LEFT(B530,1))-64,MID(B530,2,3)+0)&amp;""</f>
        <v/>
      </c>
      <c r="F530" s="46"/>
      <c r="G530" s="47"/>
      <c r="H530" s="47"/>
    </row>
    <row r="531" customFormat="false" ht="12.8" hidden="false" customHeight="false" outlineLevel="0" collapsed="false">
      <c r="A531" s="44" t="n">
        <v>6</v>
      </c>
      <c r="B531" s="44" t="s">
        <v>207</v>
      </c>
      <c r="C531" s="44" t="s">
        <v>158</v>
      </c>
      <c r="D531" s="45" t="str">
        <f aca="true">OFFSET(plates!$B$55,CODE(LEFT(B531,1))-64,-1)&amp;"-"&amp;OFFSET(plates!$B$55,-1,MID(B531,2,3)+0)</f>
        <v>bc060-bc365</v>
      </c>
      <c r="E531" s="46" t="str">
        <f aca="true">OFFSET(plates!$B$55,CODE(LEFT(B531,1))-64,MID(B531,2,3)+0)&amp;""</f>
        <v/>
      </c>
      <c r="F531" s="46"/>
      <c r="G531" s="47"/>
      <c r="H531" s="47"/>
    </row>
    <row r="532" customFormat="false" ht="12.8" hidden="false" customHeight="false" outlineLevel="0" collapsed="false">
      <c r="A532" s="44" t="n">
        <v>6</v>
      </c>
      <c r="B532" s="44" t="s">
        <v>208</v>
      </c>
      <c r="C532" s="44" t="s">
        <v>158</v>
      </c>
      <c r="D532" s="45" t="str">
        <f aca="true">OFFSET(plates!$B$55,CODE(LEFT(B532,1))-64,-1)&amp;"-"&amp;OFFSET(plates!$B$55,-1,MID(B532,2,3)+0)</f>
        <v>bc061-bc365</v>
      </c>
      <c r="E532" s="46" t="str">
        <f aca="true">OFFSET(plates!$B$55,CODE(LEFT(B532,1))-64,MID(B532,2,3)+0)&amp;""</f>
        <v/>
      </c>
      <c r="F532" s="46"/>
      <c r="G532" s="47"/>
      <c r="H532" s="47"/>
    </row>
    <row r="533" customFormat="false" ht="12.8" hidden="false" customHeight="false" outlineLevel="0" collapsed="false">
      <c r="A533" s="44" t="n">
        <v>6</v>
      </c>
      <c r="B533" s="44" t="s">
        <v>209</v>
      </c>
      <c r="C533" s="44" t="s">
        <v>158</v>
      </c>
      <c r="D533" s="45" t="str">
        <f aca="true">OFFSET(plates!$B$55,CODE(LEFT(B533,1))-64,-1)&amp;"-"&amp;OFFSET(plates!$B$55,-1,MID(B533,2,3)+0)</f>
        <v>bc062-bc365</v>
      </c>
      <c r="E533" s="46" t="str">
        <f aca="true">OFFSET(plates!$B$55,CODE(LEFT(B533,1))-64,MID(B533,2,3)+0)&amp;""</f>
        <v/>
      </c>
      <c r="F533" s="46"/>
      <c r="G533" s="47"/>
      <c r="H533" s="47"/>
    </row>
    <row r="534" customFormat="false" ht="12.8" hidden="false" customHeight="false" outlineLevel="0" collapsed="false">
      <c r="A534" s="44" t="n">
        <v>6</v>
      </c>
      <c r="B534" s="44" t="s">
        <v>210</v>
      </c>
      <c r="C534" s="44" t="s">
        <v>158</v>
      </c>
      <c r="D534" s="45" t="str">
        <f aca="true">OFFSET(plates!$B$55,CODE(LEFT(B534,1))-64,-1)&amp;"-"&amp;OFFSET(plates!$B$55,-1,MID(B534,2,3)+0)</f>
        <v>bc095-bc365</v>
      </c>
      <c r="E534" s="46" t="str">
        <f aca="true">OFFSET(plates!$B$55,CODE(LEFT(B534,1))-64,MID(B534,2,3)+0)&amp;""</f>
        <v/>
      </c>
      <c r="F534" s="46"/>
      <c r="G534" s="47"/>
      <c r="H534" s="47"/>
    </row>
    <row r="535" customFormat="false" ht="12.8" hidden="false" customHeight="false" outlineLevel="0" collapsed="false">
      <c r="A535" s="44" t="n">
        <v>6</v>
      </c>
      <c r="B535" s="44" t="s">
        <v>211</v>
      </c>
      <c r="C535" s="44" t="s">
        <v>158</v>
      </c>
      <c r="D535" s="45" t="str">
        <f aca="true">OFFSET(plates!$B$55,CODE(LEFT(B535,1))-64,-1)&amp;"-"&amp;OFFSET(plates!$B$55,-1,MID(B535,2,3)+0)</f>
        <v>bc139-bc365</v>
      </c>
      <c r="E535" s="46" t="str">
        <f aca="true">OFFSET(plates!$B$55,CODE(LEFT(B535,1))-64,MID(B535,2,3)+0)&amp;""</f>
        <v/>
      </c>
      <c r="F535" s="46"/>
      <c r="G535" s="47"/>
      <c r="H535" s="47"/>
    </row>
    <row r="536" customFormat="false" ht="12.8" hidden="false" customHeight="false" outlineLevel="0" collapsed="false">
      <c r="A536" s="44" t="n">
        <v>6</v>
      </c>
      <c r="B536" s="44" t="s">
        <v>212</v>
      </c>
      <c r="C536" s="44" t="s">
        <v>158</v>
      </c>
      <c r="D536" s="45" t="str">
        <f aca="true">OFFSET(plates!$B$55,CODE(LEFT(B536,1))-64,-1)&amp;"-"&amp;OFFSET(plates!$B$55,-1,MID(B536,2,3)+0)</f>
        <v>bc148-bc365</v>
      </c>
      <c r="E536" s="46" t="str">
        <f aca="true">OFFSET(plates!$B$55,CODE(LEFT(B536,1))-64,MID(B536,2,3)+0)&amp;""</f>
        <v/>
      </c>
      <c r="F536" s="46"/>
      <c r="G536" s="47"/>
      <c r="H536" s="47"/>
    </row>
    <row r="537" customFormat="false" ht="12.8" hidden="false" customHeight="false" outlineLevel="0" collapsed="false">
      <c r="A537" s="44" t="n">
        <v>6</v>
      </c>
      <c r="B537" s="44" t="s">
        <v>213</v>
      </c>
      <c r="C537" s="44" t="s">
        <v>158</v>
      </c>
      <c r="D537" s="45" t="str">
        <f aca="true">OFFSET(plates!$B$55,CODE(LEFT(B537,1))-64,-1)&amp;"-"&amp;OFFSET(plates!$B$55,-1,MID(B537,2,3)+0)</f>
        <v>bc157-bc365</v>
      </c>
      <c r="E537" s="46" t="str">
        <f aca="true">OFFSET(plates!$B$55,CODE(LEFT(B537,1))-64,MID(B537,2,3)+0)&amp;""</f>
        <v/>
      </c>
      <c r="F537" s="46"/>
      <c r="G537" s="47"/>
      <c r="H537" s="47"/>
    </row>
    <row r="538" customFormat="false" ht="12.8" hidden="false" customHeight="false" outlineLevel="0" collapsed="false">
      <c r="A538" s="44" t="n">
        <v>6</v>
      </c>
      <c r="B538" s="44" t="s">
        <v>214</v>
      </c>
      <c r="C538" s="44" t="s">
        <v>158</v>
      </c>
      <c r="D538" s="45" t="str">
        <f aca="true">OFFSET(plates!$B$55,CODE(LEFT(B538,1))-64,-1)&amp;"-"&amp;OFFSET(plates!$B$55,-1,MID(B538,2,3)+0)</f>
        <v>bc018-bc370</v>
      </c>
      <c r="E538" s="46" t="str">
        <f aca="true">OFFSET(plates!$B$55,CODE(LEFT(B538,1))-64,MID(B538,2,3)+0)&amp;""</f>
        <v/>
      </c>
      <c r="F538" s="46"/>
      <c r="G538" s="47"/>
      <c r="H538" s="47"/>
    </row>
    <row r="539" customFormat="false" ht="12.8" hidden="false" customHeight="false" outlineLevel="0" collapsed="false">
      <c r="A539" s="44" t="n">
        <v>6</v>
      </c>
      <c r="B539" s="44" t="s">
        <v>215</v>
      </c>
      <c r="C539" s="44" t="s">
        <v>158</v>
      </c>
      <c r="D539" s="45" t="str">
        <f aca="true">OFFSET(plates!$B$55,CODE(LEFT(B539,1))-64,-1)&amp;"-"&amp;OFFSET(plates!$B$55,-1,MID(B539,2,3)+0)</f>
        <v>bc060-bc370</v>
      </c>
      <c r="E539" s="46" t="str">
        <f aca="true">OFFSET(plates!$B$55,CODE(LEFT(B539,1))-64,MID(B539,2,3)+0)&amp;""</f>
        <v/>
      </c>
      <c r="F539" s="46"/>
      <c r="G539" s="47"/>
      <c r="H539" s="47"/>
    </row>
    <row r="540" customFormat="false" ht="12.8" hidden="false" customHeight="false" outlineLevel="0" collapsed="false">
      <c r="A540" s="44" t="n">
        <v>6</v>
      </c>
      <c r="B540" s="44" t="s">
        <v>216</v>
      </c>
      <c r="C540" s="44" t="s">
        <v>158</v>
      </c>
      <c r="D540" s="45" t="str">
        <f aca="true">OFFSET(plates!$B$55,CODE(LEFT(B540,1))-64,-1)&amp;"-"&amp;OFFSET(plates!$B$55,-1,MID(B540,2,3)+0)</f>
        <v>bc061-bc370</v>
      </c>
      <c r="E540" s="46" t="str">
        <f aca="true">OFFSET(plates!$B$55,CODE(LEFT(B540,1))-64,MID(B540,2,3)+0)&amp;""</f>
        <v/>
      </c>
      <c r="F540" s="46"/>
      <c r="G540" s="47"/>
      <c r="H540" s="47"/>
    </row>
    <row r="541" customFormat="false" ht="12.8" hidden="false" customHeight="false" outlineLevel="0" collapsed="false">
      <c r="A541" s="44" t="n">
        <v>6</v>
      </c>
      <c r="B541" s="44" t="s">
        <v>217</v>
      </c>
      <c r="C541" s="44" t="s">
        <v>158</v>
      </c>
      <c r="D541" s="45" t="str">
        <f aca="true">OFFSET(plates!$B$55,CODE(LEFT(B541,1))-64,-1)&amp;"-"&amp;OFFSET(plates!$B$55,-1,MID(B541,2,3)+0)</f>
        <v>bc062-bc370</v>
      </c>
      <c r="E541" s="46" t="str">
        <f aca="true">OFFSET(plates!$B$55,CODE(LEFT(B541,1))-64,MID(B541,2,3)+0)&amp;""</f>
        <v/>
      </c>
      <c r="F541" s="46"/>
      <c r="G541" s="47"/>
      <c r="H541" s="47"/>
    </row>
    <row r="542" customFormat="false" ht="12.8" hidden="false" customHeight="false" outlineLevel="0" collapsed="false">
      <c r="A542" s="44" t="n">
        <v>6</v>
      </c>
      <c r="B542" s="44" t="s">
        <v>218</v>
      </c>
      <c r="C542" s="44" t="s">
        <v>158</v>
      </c>
      <c r="D542" s="45" t="str">
        <f aca="true">OFFSET(plates!$B$55,CODE(LEFT(B542,1))-64,-1)&amp;"-"&amp;OFFSET(plates!$B$55,-1,MID(B542,2,3)+0)</f>
        <v>bc095-bc370</v>
      </c>
      <c r="E542" s="46" t="str">
        <f aca="true">OFFSET(plates!$B$55,CODE(LEFT(B542,1))-64,MID(B542,2,3)+0)&amp;""</f>
        <v/>
      </c>
      <c r="F542" s="46"/>
      <c r="G542" s="47"/>
      <c r="H542" s="47"/>
    </row>
    <row r="543" customFormat="false" ht="12.8" hidden="false" customHeight="false" outlineLevel="0" collapsed="false">
      <c r="A543" s="44" t="n">
        <v>6</v>
      </c>
      <c r="B543" s="44" t="s">
        <v>219</v>
      </c>
      <c r="C543" s="44" t="s">
        <v>158</v>
      </c>
      <c r="D543" s="45" t="str">
        <f aca="true">OFFSET(plates!$B$55,CODE(LEFT(B543,1))-64,-1)&amp;"-"&amp;OFFSET(plates!$B$55,-1,MID(B543,2,3)+0)</f>
        <v>bc139-bc370</v>
      </c>
      <c r="E543" s="46" t="str">
        <f aca="true">OFFSET(plates!$B$55,CODE(LEFT(B543,1))-64,MID(B543,2,3)+0)&amp;""</f>
        <v/>
      </c>
      <c r="F543" s="46"/>
      <c r="G543" s="47"/>
      <c r="H543" s="47"/>
    </row>
    <row r="544" customFormat="false" ht="12.8" hidden="false" customHeight="false" outlineLevel="0" collapsed="false">
      <c r="A544" s="44" t="n">
        <v>6</v>
      </c>
      <c r="B544" s="44" t="s">
        <v>220</v>
      </c>
      <c r="C544" s="44" t="s">
        <v>158</v>
      </c>
      <c r="D544" s="45" t="str">
        <f aca="true">OFFSET(plates!$B$55,CODE(LEFT(B544,1))-64,-1)&amp;"-"&amp;OFFSET(plates!$B$55,-1,MID(B544,2,3)+0)</f>
        <v>bc148-bc370</v>
      </c>
      <c r="E544" s="46" t="str">
        <f aca="true">OFFSET(plates!$B$55,CODE(LEFT(B544,1))-64,MID(B544,2,3)+0)&amp;""</f>
        <v/>
      </c>
      <c r="F544" s="46"/>
      <c r="G544" s="47"/>
      <c r="H544" s="47"/>
    </row>
    <row r="545" customFormat="false" ht="12.8" hidden="false" customHeight="false" outlineLevel="0" collapsed="false">
      <c r="A545" s="44" t="n">
        <v>6</v>
      </c>
      <c r="B545" s="44" t="s">
        <v>221</v>
      </c>
      <c r="C545" s="44" t="s">
        <v>158</v>
      </c>
      <c r="D545" s="45" t="str">
        <f aca="true">OFFSET(plates!$B$55,CODE(LEFT(B545,1))-64,-1)&amp;"-"&amp;OFFSET(plates!$B$55,-1,MID(B545,2,3)+0)</f>
        <v>bc157-bc370</v>
      </c>
      <c r="E545" s="46" t="str">
        <f aca="true">OFFSET(plates!$B$55,CODE(LEFT(B545,1))-64,MID(B545,2,3)+0)&amp;""</f>
        <v/>
      </c>
      <c r="F545" s="46"/>
      <c r="G545" s="47"/>
      <c r="H545" s="47"/>
    </row>
    <row r="546" customFormat="false" ht="12.8" hidden="false" customHeight="false" outlineLevel="0" collapsed="false">
      <c r="A546" s="44" t="n">
        <v>6</v>
      </c>
      <c r="B546" s="44" t="s">
        <v>222</v>
      </c>
      <c r="C546" s="44" t="s">
        <v>158</v>
      </c>
      <c r="D546" s="45" t="str">
        <f aca="true">OFFSET(plates!$B$55,CODE(LEFT(B546,1))-64,-1)&amp;"-"&amp;OFFSET(plates!$B$55,-1,MID(B546,2,3)+0)</f>
        <v>bc018-bc387</v>
      </c>
      <c r="E546" s="46" t="str">
        <f aca="true">OFFSET(plates!$B$55,CODE(LEFT(B546,1))-64,MID(B546,2,3)+0)&amp;""</f>
        <v/>
      </c>
      <c r="F546" s="46"/>
      <c r="G546" s="47"/>
      <c r="H546" s="47"/>
    </row>
    <row r="547" customFormat="false" ht="12.8" hidden="false" customHeight="false" outlineLevel="0" collapsed="false">
      <c r="A547" s="44" t="n">
        <v>6</v>
      </c>
      <c r="B547" s="44" t="s">
        <v>223</v>
      </c>
      <c r="C547" s="44" t="s">
        <v>158</v>
      </c>
      <c r="D547" s="45" t="str">
        <f aca="true">OFFSET(plates!$B$55,CODE(LEFT(B547,1))-64,-1)&amp;"-"&amp;OFFSET(plates!$B$55,-1,MID(B547,2,3)+0)</f>
        <v>bc060-bc387</v>
      </c>
      <c r="E547" s="46" t="str">
        <f aca="true">OFFSET(plates!$B$55,CODE(LEFT(B547,1))-64,MID(B547,2,3)+0)&amp;""</f>
        <v/>
      </c>
      <c r="F547" s="46"/>
      <c r="G547" s="47"/>
      <c r="H547" s="47"/>
    </row>
    <row r="548" customFormat="false" ht="12.8" hidden="false" customHeight="false" outlineLevel="0" collapsed="false">
      <c r="A548" s="44" t="n">
        <v>6</v>
      </c>
      <c r="B548" s="44" t="s">
        <v>224</v>
      </c>
      <c r="C548" s="44" t="s">
        <v>158</v>
      </c>
      <c r="D548" s="45" t="str">
        <f aca="true">OFFSET(plates!$B$55,CODE(LEFT(B548,1))-64,-1)&amp;"-"&amp;OFFSET(plates!$B$55,-1,MID(B548,2,3)+0)</f>
        <v>bc061-bc387</v>
      </c>
      <c r="E548" s="46" t="str">
        <f aca="true">OFFSET(plates!$B$55,CODE(LEFT(B548,1))-64,MID(B548,2,3)+0)&amp;""</f>
        <v/>
      </c>
      <c r="F548" s="46"/>
      <c r="G548" s="47"/>
      <c r="H548" s="47"/>
    </row>
    <row r="549" customFormat="false" ht="12.8" hidden="false" customHeight="false" outlineLevel="0" collapsed="false">
      <c r="A549" s="44" t="n">
        <v>6</v>
      </c>
      <c r="B549" s="44" t="s">
        <v>225</v>
      </c>
      <c r="C549" s="44" t="s">
        <v>158</v>
      </c>
      <c r="D549" s="45" t="str">
        <f aca="true">OFFSET(plates!$B$55,CODE(LEFT(B549,1))-64,-1)&amp;"-"&amp;OFFSET(plates!$B$55,-1,MID(B549,2,3)+0)</f>
        <v>bc062-bc387</v>
      </c>
      <c r="E549" s="46" t="str">
        <f aca="true">OFFSET(plates!$B$55,CODE(LEFT(B549,1))-64,MID(B549,2,3)+0)&amp;""</f>
        <v/>
      </c>
      <c r="F549" s="46"/>
      <c r="G549" s="47"/>
      <c r="H549" s="47"/>
    </row>
    <row r="550" customFormat="false" ht="12.8" hidden="false" customHeight="false" outlineLevel="0" collapsed="false">
      <c r="A550" s="44" t="n">
        <v>6</v>
      </c>
      <c r="B550" s="44" t="s">
        <v>226</v>
      </c>
      <c r="C550" s="44" t="s">
        <v>158</v>
      </c>
      <c r="D550" s="45" t="str">
        <f aca="true">OFFSET(plates!$B$55,CODE(LEFT(B550,1))-64,-1)&amp;"-"&amp;OFFSET(plates!$B$55,-1,MID(B550,2,3)+0)</f>
        <v>bc095-bc387</v>
      </c>
      <c r="E550" s="46" t="str">
        <f aca="true">OFFSET(plates!$B$55,CODE(LEFT(B550,1))-64,MID(B550,2,3)+0)&amp;""</f>
        <v/>
      </c>
      <c r="F550" s="46"/>
      <c r="G550" s="47"/>
      <c r="H550" s="47"/>
    </row>
    <row r="551" customFormat="false" ht="12.8" hidden="false" customHeight="false" outlineLevel="0" collapsed="false">
      <c r="A551" s="44" t="n">
        <v>6</v>
      </c>
      <c r="B551" s="44" t="s">
        <v>227</v>
      </c>
      <c r="C551" s="44" t="s">
        <v>158</v>
      </c>
      <c r="D551" s="45" t="str">
        <f aca="true">OFFSET(plates!$B$55,CODE(LEFT(B551,1))-64,-1)&amp;"-"&amp;OFFSET(plates!$B$55,-1,MID(B551,2,3)+0)</f>
        <v>bc139-bc387</v>
      </c>
      <c r="E551" s="46" t="str">
        <f aca="true">OFFSET(plates!$B$55,CODE(LEFT(B551,1))-64,MID(B551,2,3)+0)&amp;""</f>
        <v/>
      </c>
      <c r="F551" s="46"/>
      <c r="G551" s="47"/>
      <c r="H551" s="47"/>
    </row>
    <row r="552" customFormat="false" ht="12.8" hidden="false" customHeight="false" outlineLevel="0" collapsed="false">
      <c r="A552" s="44" t="n">
        <v>6</v>
      </c>
      <c r="B552" s="44" t="s">
        <v>228</v>
      </c>
      <c r="C552" s="44" t="s">
        <v>158</v>
      </c>
      <c r="D552" s="45" t="str">
        <f aca="true">OFFSET(plates!$B$55,CODE(LEFT(B552,1))-64,-1)&amp;"-"&amp;OFFSET(plates!$B$55,-1,MID(B552,2,3)+0)</f>
        <v>bc148-bc387</v>
      </c>
      <c r="E552" s="46" t="str">
        <f aca="true">OFFSET(plates!$B$55,CODE(LEFT(B552,1))-64,MID(B552,2,3)+0)&amp;""</f>
        <v/>
      </c>
      <c r="F552" s="46"/>
      <c r="G552" s="47"/>
      <c r="H552" s="47"/>
    </row>
    <row r="553" customFormat="false" ht="12.8" hidden="false" customHeight="false" outlineLevel="0" collapsed="false">
      <c r="A553" s="44" t="n">
        <v>6</v>
      </c>
      <c r="B553" s="44" t="s">
        <v>229</v>
      </c>
      <c r="C553" s="44" t="s">
        <v>158</v>
      </c>
      <c r="D553" s="45" t="str">
        <f aca="true">OFFSET(plates!$B$55,CODE(LEFT(B553,1))-64,-1)&amp;"-"&amp;OFFSET(plates!$B$55,-1,MID(B553,2,3)+0)</f>
        <v>bc157-bc387</v>
      </c>
      <c r="E553" s="46" t="str">
        <f aca="true">OFFSET(plates!$B$55,CODE(LEFT(B553,1))-64,MID(B553,2,3)+0)&amp;""</f>
        <v/>
      </c>
      <c r="F553" s="46"/>
      <c r="G553" s="47"/>
      <c r="H553" s="47"/>
    </row>
    <row r="554" customFormat="false" ht="12.8" hidden="false" customHeight="false" outlineLevel="0" collapsed="false">
      <c r="A554" s="44" t="n">
        <v>6</v>
      </c>
      <c r="B554" s="44" t="s">
        <v>230</v>
      </c>
      <c r="C554" s="44" t="s">
        <v>158</v>
      </c>
      <c r="D554" s="45" t="str">
        <f aca="true">OFFSET(plates!$B$55,CODE(LEFT(B554,1))-64,-1)&amp;"-"&amp;OFFSET(plates!$B$55,-1,MID(B554,2,3)+0)</f>
        <v>bc018-bc388</v>
      </c>
      <c r="E554" s="46" t="str">
        <f aca="true">OFFSET(plates!$B$55,CODE(LEFT(B554,1))-64,MID(B554,2,3)+0)&amp;""</f>
        <v/>
      </c>
      <c r="F554" s="46"/>
      <c r="G554" s="47"/>
      <c r="H554" s="47"/>
    </row>
    <row r="555" customFormat="false" ht="12.8" hidden="false" customHeight="false" outlineLevel="0" collapsed="false">
      <c r="A555" s="44" t="n">
        <v>6</v>
      </c>
      <c r="B555" s="44" t="s">
        <v>231</v>
      </c>
      <c r="C555" s="44" t="s">
        <v>158</v>
      </c>
      <c r="D555" s="45" t="str">
        <f aca="true">OFFSET(plates!$B$55,CODE(LEFT(B555,1))-64,-1)&amp;"-"&amp;OFFSET(plates!$B$55,-1,MID(B555,2,3)+0)</f>
        <v>bc060-bc388</v>
      </c>
      <c r="E555" s="46" t="str">
        <f aca="true">OFFSET(plates!$B$55,CODE(LEFT(B555,1))-64,MID(B555,2,3)+0)&amp;""</f>
        <v/>
      </c>
      <c r="F555" s="46"/>
      <c r="G555" s="47"/>
      <c r="H555" s="47"/>
    </row>
    <row r="556" customFormat="false" ht="12.8" hidden="false" customHeight="false" outlineLevel="0" collapsed="false">
      <c r="A556" s="44" t="n">
        <v>6</v>
      </c>
      <c r="B556" s="44" t="s">
        <v>232</v>
      </c>
      <c r="C556" s="44" t="s">
        <v>158</v>
      </c>
      <c r="D556" s="45" t="str">
        <f aca="true">OFFSET(plates!$B$55,CODE(LEFT(B556,1))-64,-1)&amp;"-"&amp;OFFSET(plates!$B$55,-1,MID(B556,2,3)+0)</f>
        <v>bc061-bc388</v>
      </c>
      <c r="E556" s="46" t="str">
        <f aca="true">OFFSET(plates!$B$55,CODE(LEFT(B556,1))-64,MID(B556,2,3)+0)&amp;""</f>
        <v/>
      </c>
      <c r="F556" s="46"/>
      <c r="G556" s="47"/>
      <c r="H556" s="47"/>
    </row>
    <row r="557" s="48" customFormat="true" ht="12.8" hidden="false" customHeight="false" outlineLevel="0" collapsed="false">
      <c r="A557" s="44" t="n">
        <v>6</v>
      </c>
      <c r="B557" s="44" t="s">
        <v>233</v>
      </c>
      <c r="C557" s="44" t="s">
        <v>158</v>
      </c>
      <c r="D557" s="45" t="str">
        <f aca="true">OFFSET(plates!$B$55,CODE(LEFT(B557,1))-64,-1)&amp;"-"&amp;OFFSET(plates!$B$55,-1,MID(B557,2,3)+0)</f>
        <v>bc062-bc388</v>
      </c>
      <c r="E557" s="46" t="str">
        <f aca="true">OFFSET(plates!$B$55,CODE(LEFT(B557,1))-64,MID(B557,2,3)+0)&amp;""</f>
        <v/>
      </c>
      <c r="F557" s="46"/>
      <c r="G557" s="47"/>
      <c r="H557" s="47"/>
      <c r="I557" s="36"/>
      <c r="J557" s="36"/>
      <c r="K557" s="36"/>
      <c r="L557" s="36"/>
      <c r="M557" s="36"/>
    </row>
    <row r="558" s="48" customFormat="true" ht="12.8" hidden="false" customHeight="false" outlineLevel="0" collapsed="false">
      <c r="A558" s="44" t="n">
        <v>6</v>
      </c>
      <c r="B558" s="44" t="s">
        <v>234</v>
      </c>
      <c r="C558" s="44" t="s">
        <v>158</v>
      </c>
      <c r="D558" s="45" t="str">
        <f aca="true">OFFSET(plates!$B$55,CODE(LEFT(B558,1))-64,-1)&amp;"-"&amp;OFFSET(plates!$B$55,-1,MID(B558,2,3)+0)</f>
        <v>bc095-bc388</v>
      </c>
      <c r="E558" s="46" t="str">
        <f aca="true">OFFSET(plates!$B$55,CODE(LEFT(B558,1))-64,MID(B558,2,3)+0)&amp;""</f>
        <v/>
      </c>
      <c r="F558" s="46"/>
      <c r="G558" s="47"/>
      <c r="H558" s="47"/>
      <c r="I558" s="36"/>
      <c r="J558" s="36"/>
      <c r="K558" s="36"/>
      <c r="L558" s="36"/>
      <c r="M558" s="36"/>
    </row>
    <row r="559" customFormat="false" ht="12.8" hidden="false" customHeight="false" outlineLevel="0" collapsed="false">
      <c r="A559" s="44" t="n">
        <v>6</v>
      </c>
      <c r="B559" s="44" t="s">
        <v>235</v>
      </c>
      <c r="C559" s="44" t="s">
        <v>158</v>
      </c>
      <c r="D559" s="45" t="str">
        <f aca="true">OFFSET(plates!$B$55,CODE(LEFT(B559,1))-64,-1)&amp;"-"&amp;OFFSET(plates!$B$55,-1,MID(B559,2,3)+0)</f>
        <v>bc139-bc388</v>
      </c>
      <c r="E559" s="46" t="str">
        <f aca="true">OFFSET(plates!$B$55,CODE(LEFT(B559,1))-64,MID(B559,2,3)+0)&amp;""</f>
        <v/>
      </c>
      <c r="F559" s="46"/>
      <c r="G559" s="47"/>
      <c r="H559" s="47"/>
    </row>
    <row r="560" customFormat="false" ht="12.8" hidden="false" customHeight="false" outlineLevel="0" collapsed="false">
      <c r="A560" s="44" t="n">
        <v>6</v>
      </c>
      <c r="B560" s="44" t="s">
        <v>236</v>
      </c>
      <c r="C560" s="44" t="s">
        <v>158</v>
      </c>
      <c r="D560" s="45" t="str">
        <f aca="true">OFFSET(plates!$B$55,CODE(LEFT(B560,1))-64,-1)&amp;"-"&amp;OFFSET(plates!$B$55,-1,MID(B560,2,3)+0)</f>
        <v>bc148-bc388</v>
      </c>
      <c r="E560" s="46" t="str">
        <f aca="true">OFFSET(plates!$B$55,CODE(LEFT(B560,1))-64,MID(B560,2,3)+0)&amp;""</f>
        <v/>
      </c>
      <c r="F560" s="46"/>
      <c r="G560" s="47"/>
      <c r="H560" s="47"/>
    </row>
    <row r="561" customFormat="false" ht="12.8" hidden="false" customHeight="false" outlineLevel="0" collapsed="false">
      <c r="A561" s="44" t="n">
        <v>6</v>
      </c>
      <c r="B561" s="44" t="s">
        <v>237</v>
      </c>
      <c r="C561" s="44" t="s">
        <v>158</v>
      </c>
      <c r="D561" s="45" t="str">
        <f aca="true">OFFSET(plates!$B$55,CODE(LEFT(B561,1))-64,-1)&amp;"-"&amp;OFFSET(plates!$B$55,-1,MID(B561,2,3)+0)</f>
        <v>bc157-bc388</v>
      </c>
      <c r="E561" s="46" t="str">
        <f aca="true">OFFSET(plates!$B$55,CODE(LEFT(B561,1))-64,MID(B561,2,3)+0)&amp;""</f>
        <v/>
      </c>
      <c r="F561" s="46"/>
      <c r="G561" s="47"/>
      <c r="H561" s="47"/>
    </row>
    <row r="562" customFormat="false" ht="12.8" hidden="false" customHeight="false" outlineLevel="0" collapsed="false">
      <c r="A562" s="44" t="n">
        <v>6</v>
      </c>
      <c r="B562" s="44" t="s">
        <v>238</v>
      </c>
      <c r="C562" s="44" t="s">
        <v>158</v>
      </c>
      <c r="D562" s="45" t="str">
        <f aca="true">OFFSET(plates!$B$55,CODE(LEFT(B562,1))-64,-1)&amp;"-"&amp;OFFSET(plates!$B$55,-1,MID(B562,2,3)+0)</f>
        <v>bc018-bc396</v>
      </c>
      <c r="E562" s="46" t="str">
        <f aca="true">OFFSET(plates!$B$55,CODE(LEFT(B562,1))-64,MID(B562,2,3)+0)&amp;""</f>
        <v/>
      </c>
      <c r="F562" s="46"/>
      <c r="G562" s="47"/>
      <c r="H562" s="47"/>
    </row>
    <row r="563" customFormat="false" ht="12.8" hidden="false" customHeight="false" outlineLevel="0" collapsed="false">
      <c r="A563" s="44" t="n">
        <v>6</v>
      </c>
      <c r="B563" s="44" t="s">
        <v>239</v>
      </c>
      <c r="C563" s="44" t="s">
        <v>158</v>
      </c>
      <c r="D563" s="45" t="str">
        <f aca="true">OFFSET(plates!$B$55,CODE(LEFT(B563,1))-64,-1)&amp;"-"&amp;OFFSET(plates!$B$55,-1,MID(B563,2,3)+0)</f>
        <v>bc060-bc396</v>
      </c>
      <c r="E563" s="46" t="str">
        <f aca="true">OFFSET(plates!$B$55,CODE(LEFT(B563,1))-64,MID(B563,2,3)+0)&amp;""</f>
        <v/>
      </c>
      <c r="F563" s="46"/>
      <c r="G563" s="47"/>
      <c r="H563" s="47"/>
    </row>
    <row r="564" customFormat="false" ht="12.8" hidden="false" customHeight="false" outlineLevel="0" collapsed="false">
      <c r="A564" s="44" t="n">
        <v>6</v>
      </c>
      <c r="B564" s="44" t="s">
        <v>240</v>
      </c>
      <c r="C564" s="44" t="s">
        <v>158</v>
      </c>
      <c r="D564" s="45" t="str">
        <f aca="true">OFFSET(plates!$B$55,CODE(LEFT(B564,1))-64,-1)&amp;"-"&amp;OFFSET(plates!$B$55,-1,MID(B564,2,3)+0)</f>
        <v>bc061-bc396</v>
      </c>
      <c r="E564" s="46" t="str">
        <f aca="true">OFFSET(plates!$B$55,CODE(LEFT(B564,1))-64,MID(B564,2,3)+0)&amp;""</f>
        <v/>
      </c>
      <c r="F564" s="46"/>
      <c r="G564" s="47"/>
      <c r="H564" s="47"/>
    </row>
    <row r="565" customFormat="false" ht="12.8" hidden="false" customHeight="false" outlineLevel="0" collapsed="false">
      <c r="A565" s="44" t="n">
        <v>6</v>
      </c>
      <c r="B565" s="44" t="s">
        <v>241</v>
      </c>
      <c r="C565" s="44" t="s">
        <v>158</v>
      </c>
      <c r="D565" s="45" t="str">
        <f aca="true">OFFSET(plates!$B$55,CODE(LEFT(B565,1))-64,-1)&amp;"-"&amp;OFFSET(plates!$B$55,-1,MID(B565,2,3)+0)</f>
        <v>bc062-bc396</v>
      </c>
      <c r="E565" s="46" t="str">
        <f aca="true">OFFSET(plates!$B$55,CODE(LEFT(B565,1))-64,MID(B565,2,3)+0)&amp;""</f>
        <v/>
      </c>
      <c r="F565" s="46"/>
      <c r="G565" s="47"/>
      <c r="H565" s="47"/>
    </row>
    <row r="566" customFormat="false" ht="12.8" hidden="false" customHeight="false" outlineLevel="0" collapsed="false">
      <c r="A566" s="44" t="n">
        <v>6</v>
      </c>
      <c r="B566" s="44" t="s">
        <v>242</v>
      </c>
      <c r="C566" s="44" t="s">
        <v>158</v>
      </c>
      <c r="D566" s="45" t="str">
        <f aca="true">OFFSET(plates!$B$55,CODE(LEFT(B566,1))-64,-1)&amp;"-"&amp;OFFSET(plates!$B$55,-1,MID(B566,2,3)+0)</f>
        <v>bc095-bc396</v>
      </c>
      <c r="E566" s="46" t="str">
        <f aca="true">OFFSET(plates!$B$55,CODE(LEFT(B566,1))-64,MID(B566,2,3)+0)&amp;""</f>
        <v/>
      </c>
      <c r="F566" s="46"/>
      <c r="G566" s="47"/>
      <c r="H566" s="47"/>
    </row>
    <row r="567" customFormat="false" ht="12.8" hidden="false" customHeight="false" outlineLevel="0" collapsed="false">
      <c r="A567" s="44" t="n">
        <v>6</v>
      </c>
      <c r="B567" s="44" t="s">
        <v>243</v>
      </c>
      <c r="C567" s="44" t="s">
        <v>158</v>
      </c>
      <c r="D567" s="45" t="str">
        <f aca="true">OFFSET(plates!$B$55,CODE(LEFT(B567,1))-64,-1)&amp;"-"&amp;OFFSET(plates!$B$55,-1,MID(B567,2,3)+0)</f>
        <v>bc139-bc396</v>
      </c>
      <c r="E567" s="46" t="str">
        <f aca="true">OFFSET(plates!$B$55,CODE(LEFT(B567,1))-64,MID(B567,2,3)+0)&amp;""</f>
        <v/>
      </c>
      <c r="F567" s="46"/>
      <c r="G567" s="47"/>
      <c r="H567" s="47"/>
    </row>
    <row r="568" customFormat="false" ht="12.8" hidden="false" customHeight="false" outlineLevel="0" collapsed="false">
      <c r="A568" s="44" t="n">
        <v>6</v>
      </c>
      <c r="B568" s="44" t="s">
        <v>244</v>
      </c>
      <c r="C568" s="44" t="s">
        <v>158</v>
      </c>
      <c r="D568" s="45" t="str">
        <f aca="true">OFFSET(plates!$B$55,CODE(LEFT(B568,1))-64,-1)&amp;"-"&amp;OFFSET(plates!$B$55,-1,MID(B568,2,3)+0)</f>
        <v>bc148-bc396</v>
      </c>
      <c r="E568" s="46" t="str">
        <f aca="true">OFFSET(plates!$B$55,CODE(LEFT(B568,1))-64,MID(B568,2,3)+0)&amp;""</f>
        <v/>
      </c>
      <c r="F568" s="46"/>
      <c r="G568" s="47"/>
      <c r="H568" s="47"/>
    </row>
    <row r="569" customFormat="false" ht="12.8" hidden="false" customHeight="false" outlineLevel="0" collapsed="false">
      <c r="A569" s="44" t="n">
        <v>6</v>
      </c>
      <c r="B569" s="44" t="s">
        <v>245</v>
      </c>
      <c r="C569" s="44" t="s">
        <v>158</v>
      </c>
      <c r="D569" s="45" t="str">
        <f aca="true">OFFSET(plates!$B$55,CODE(LEFT(B569,1))-64,-1)&amp;"-"&amp;OFFSET(plates!$B$55,-1,MID(B569,2,3)+0)</f>
        <v>bc157-bc396</v>
      </c>
      <c r="E569" s="46" t="str">
        <f aca="true">OFFSET(plates!$B$55,CODE(LEFT(B569,1))-64,MID(B569,2,3)+0)&amp;""</f>
        <v/>
      </c>
      <c r="F569" s="46"/>
      <c r="G569" s="47"/>
      <c r="H569" s="47"/>
    </row>
    <row r="570" customFormat="false" ht="12.8" hidden="false" customHeight="false" outlineLevel="0" collapsed="false">
      <c r="A570" s="44" t="n">
        <v>6</v>
      </c>
      <c r="B570" s="44" t="s">
        <v>246</v>
      </c>
      <c r="C570" s="44" t="s">
        <v>158</v>
      </c>
      <c r="D570" s="45" t="str">
        <f aca="true">OFFSET(plates!$B$55,CODE(LEFT(B570,1))-64,-1)&amp;"-"&amp;OFFSET(plates!$B$55,-1,MID(B570,2,3)+0)</f>
        <v>bc018-bc397</v>
      </c>
      <c r="E570" s="46" t="str">
        <f aca="true">OFFSET(plates!$B$55,CODE(LEFT(B570,1))-64,MID(B570,2,3)+0)&amp;""</f>
        <v/>
      </c>
      <c r="F570" s="46"/>
      <c r="G570" s="47"/>
      <c r="H570" s="47"/>
    </row>
    <row r="571" customFormat="false" ht="12.8" hidden="false" customHeight="false" outlineLevel="0" collapsed="false">
      <c r="A571" s="44" t="n">
        <v>6</v>
      </c>
      <c r="B571" s="44" t="s">
        <v>247</v>
      </c>
      <c r="C571" s="44" t="s">
        <v>158</v>
      </c>
      <c r="D571" s="45" t="str">
        <f aca="true">OFFSET(plates!$B$55,CODE(LEFT(B571,1))-64,-1)&amp;"-"&amp;OFFSET(plates!$B$55,-1,MID(B571,2,3)+0)</f>
        <v>bc060-bc397</v>
      </c>
      <c r="E571" s="46" t="str">
        <f aca="true">OFFSET(plates!$B$55,CODE(LEFT(B571,1))-64,MID(B571,2,3)+0)&amp;""</f>
        <v/>
      </c>
      <c r="F571" s="46"/>
      <c r="G571" s="47"/>
      <c r="H571" s="47"/>
    </row>
    <row r="572" customFormat="false" ht="12.8" hidden="false" customHeight="false" outlineLevel="0" collapsed="false">
      <c r="A572" s="44" t="n">
        <v>6</v>
      </c>
      <c r="B572" s="44" t="s">
        <v>248</v>
      </c>
      <c r="C572" s="44" t="s">
        <v>158</v>
      </c>
      <c r="D572" s="45" t="str">
        <f aca="true">OFFSET(plates!$B$55,CODE(LEFT(B572,1))-64,-1)&amp;"-"&amp;OFFSET(plates!$B$55,-1,MID(B572,2,3)+0)</f>
        <v>bc061-bc397</v>
      </c>
      <c r="E572" s="46" t="str">
        <f aca="true">OFFSET(plates!$B$55,CODE(LEFT(B572,1))-64,MID(B572,2,3)+0)&amp;""</f>
        <v/>
      </c>
      <c r="F572" s="46"/>
      <c r="G572" s="47"/>
      <c r="H572" s="47"/>
    </row>
    <row r="573" customFormat="false" ht="12.8" hidden="false" customHeight="false" outlineLevel="0" collapsed="false">
      <c r="A573" s="44" t="n">
        <v>6</v>
      </c>
      <c r="B573" s="44" t="s">
        <v>249</v>
      </c>
      <c r="C573" s="44" t="s">
        <v>158</v>
      </c>
      <c r="D573" s="45" t="str">
        <f aca="true">OFFSET(plates!$B$55,CODE(LEFT(B573,1))-64,-1)&amp;"-"&amp;OFFSET(plates!$B$55,-1,MID(B573,2,3)+0)</f>
        <v>bc062-bc397</v>
      </c>
      <c r="E573" s="46" t="str">
        <f aca="true">OFFSET(plates!$B$55,CODE(LEFT(B573,1))-64,MID(B573,2,3)+0)&amp;""</f>
        <v/>
      </c>
      <c r="F573" s="46"/>
      <c r="G573" s="47"/>
      <c r="H573" s="47"/>
    </row>
    <row r="574" customFormat="false" ht="12.8" hidden="false" customHeight="false" outlineLevel="0" collapsed="false">
      <c r="A574" s="44" t="n">
        <v>6</v>
      </c>
      <c r="B574" s="44" t="s">
        <v>250</v>
      </c>
      <c r="C574" s="44" t="s">
        <v>158</v>
      </c>
      <c r="D574" s="45" t="str">
        <f aca="true">OFFSET(plates!$B$55,CODE(LEFT(B574,1))-64,-1)&amp;"-"&amp;OFFSET(plates!$B$55,-1,MID(B574,2,3)+0)</f>
        <v>bc095-bc397</v>
      </c>
      <c r="E574" s="46" t="str">
        <f aca="true">OFFSET(plates!$B$55,CODE(LEFT(B574,1))-64,MID(B574,2,3)+0)&amp;""</f>
        <v/>
      </c>
      <c r="F574" s="46"/>
      <c r="G574" s="47"/>
      <c r="H574" s="47"/>
    </row>
    <row r="575" customFormat="false" ht="12.8" hidden="false" customHeight="false" outlineLevel="0" collapsed="false">
      <c r="A575" s="44" t="n">
        <v>6</v>
      </c>
      <c r="B575" s="44" t="s">
        <v>251</v>
      </c>
      <c r="C575" s="44" t="s">
        <v>158</v>
      </c>
      <c r="D575" s="45" t="str">
        <f aca="true">OFFSET(plates!$B$55,CODE(LEFT(B575,1))-64,-1)&amp;"-"&amp;OFFSET(plates!$B$55,-1,MID(B575,2,3)+0)</f>
        <v>bc139-bc397</v>
      </c>
      <c r="E575" s="46" t="str">
        <f aca="true">OFFSET(plates!$B$55,CODE(LEFT(B575,1))-64,MID(B575,2,3)+0)&amp;""</f>
        <v/>
      </c>
      <c r="F575" s="46"/>
      <c r="G575" s="47"/>
      <c r="H575" s="47"/>
      <c r="I575" s="36"/>
      <c r="J575" s="36"/>
      <c r="K575" s="36"/>
      <c r="L575" s="36"/>
      <c r="M575" s="36"/>
    </row>
    <row r="576" customFormat="false" ht="12.8" hidden="false" customHeight="false" outlineLevel="0" collapsed="false">
      <c r="A576" s="44" t="n">
        <v>6</v>
      </c>
      <c r="B576" s="44" t="s">
        <v>252</v>
      </c>
      <c r="C576" s="44" t="s">
        <v>158</v>
      </c>
      <c r="D576" s="45" t="str">
        <f aca="true">OFFSET(plates!$B$55,CODE(LEFT(B576,1))-64,-1)&amp;"-"&amp;OFFSET(plates!$B$55,-1,MID(B576,2,3)+0)</f>
        <v>bc148-bc397</v>
      </c>
      <c r="E576" s="46" t="str">
        <f aca="true">OFFSET(plates!$B$55,CODE(LEFT(B576,1))-64,MID(B576,2,3)+0)&amp;""</f>
        <v/>
      </c>
      <c r="F576" s="46"/>
      <c r="G576" s="47"/>
      <c r="H576" s="47"/>
      <c r="I576" s="36"/>
      <c r="J576" s="36"/>
      <c r="K576" s="36"/>
      <c r="L576" s="36"/>
      <c r="M576" s="36"/>
    </row>
    <row r="577" customFormat="false" ht="12.8" hidden="false" customHeight="false" outlineLevel="0" collapsed="false">
      <c r="A577" s="44" t="n">
        <v>6</v>
      </c>
      <c r="B577" s="44" t="s">
        <v>253</v>
      </c>
      <c r="C577" s="44" t="s">
        <v>158</v>
      </c>
      <c r="D577" s="45" t="str">
        <f aca="true">OFFSET(plates!$B$55,CODE(LEFT(B577,1))-64,-1)&amp;"-"&amp;OFFSET(plates!$B$55,-1,MID(B577,2,3)+0)</f>
        <v>bc157-bc397</v>
      </c>
      <c r="E577" s="46" t="str">
        <f aca="true">OFFSET(plates!$B$55,CODE(LEFT(B577,1))-64,MID(B577,2,3)+0)&amp;""</f>
        <v/>
      </c>
      <c r="F577" s="46"/>
      <c r="G577" s="47"/>
      <c r="H577" s="47"/>
      <c r="I577" s="36"/>
      <c r="J577" s="36"/>
      <c r="K577" s="36"/>
    </row>
    <row r="578" customFormat="false" ht="12.8" hidden="false" customHeight="false" outlineLevel="0" collapsed="false">
      <c r="A578" s="44" t="n">
        <v>7</v>
      </c>
      <c r="B578" s="44" t="s">
        <v>157</v>
      </c>
      <c r="C578" s="44" t="s">
        <v>158</v>
      </c>
      <c r="D578" s="45" t="str">
        <f aca="true">OFFSET(plates!$B$65,CODE(LEFT(B578,1))-64,-1)&amp;"-"&amp;OFFSET(plates!$B$55,-1,MID(B578,2,3)+0)</f>
        <v>bc168-bc247</v>
      </c>
      <c r="E578" s="46" t="str">
        <f aca="true">OFFSET(plates!$B$65,CODE(LEFT(B578,1))-64,MID(B578,2,3)+0)&amp;""</f>
        <v/>
      </c>
      <c r="F578" s="46"/>
      <c r="G578" s="47"/>
      <c r="H578" s="47"/>
      <c r="I578" s="36"/>
      <c r="J578" s="36"/>
      <c r="K578" s="36"/>
    </row>
    <row r="579" customFormat="false" ht="12.8" hidden="false" customHeight="false" outlineLevel="0" collapsed="false">
      <c r="A579" s="44" t="n">
        <v>7</v>
      </c>
      <c r="B579" s="44" t="s">
        <v>159</v>
      </c>
      <c r="C579" s="44" t="s">
        <v>158</v>
      </c>
      <c r="D579" s="45" t="str">
        <f aca="true">OFFSET(plates!$B$65,CODE(LEFT(B579,1))-64,-1)&amp;"-"&amp;OFFSET(plates!$B$55,-1,MID(B579,2,3)+0)</f>
        <v>bc183-bc247</v>
      </c>
      <c r="E579" s="46" t="str">
        <f aca="true">OFFSET(plates!$B$65,CODE(LEFT(B579,1))-64,MID(B579,2,3)+0)&amp;""</f>
        <v/>
      </c>
      <c r="F579" s="46"/>
      <c r="G579" s="47"/>
      <c r="H579" s="47"/>
    </row>
    <row r="580" customFormat="false" ht="12.8" hidden="false" customHeight="false" outlineLevel="0" collapsed="false">
      <c r="A580" s="44" t="n">
        <v>7</v>
      </c>
      <c r="B580" s="44" t="s">
        <v>160</v>
      </c>
      <c r="C580" s="44" t="s">
        <v>158</v>
      </c>
      <c r="D580" s="45" t="str">
        <f aca="true">OFFSET(plates!$B$65,CODE(LEFT(B580,1))-64,-1)&amp;"-"&amp;OFFSET(plates!$B$55,-1,MID(B580,2,3)+0)</f>
        <v>bc192-bc247</v>
      </c>
      <c r="E580" s="46" t="str">
        <f aca="true">OFFSET(plates!$B$65,CODE(LEFT(B580,1))-64,MID(B580,2,3)+0)&amp;""</f>
        <v/>
      </c>
      <c r="F580" s="46"/>
      <c r="G580" s="47"/>
      <c r="H580" s="47"/>
    </row>
    <row r="581" customFormat="false" ht="12.8" hidden="false" customHeight="false" outlineLevel="0" collapsed="false">
      <c r="A581" s="44" t="n">
        <v>7</v>
      </c>
      <c r="B581" s="44" t="s">
        <v>161</v>
      </c>
      <c r="C581" s="44" t="s">
        <v>158</v>
      </c>
      <c r="D581" s="45" t="str">
        <f aca="true">OFFSET(plates!$B$65,CODE(LEFT(B581,1))-64,-1)&amp;"-"&amp;OFFSET(plates!$B$55,-1,MID(B581,2,3)+0)</f>
        <v>bc205-bc247</v>
      </c>
      <c r="E581" s="46" t="str">
        <f aca="true">OFFSET(plates!$B$65,CODE(LEFT(B581,1))-64,MID(B581,2,3)+0)&amp;""</f>
        <v/>
      </c>
      <c r="F581" s="46"/>
      <c r="G581" s="47"/>
      <c r="H581" s="47"/>
    </row>
    <row r="582" customFormat="false" ht="12.8" hidden="false" customHeight="false" outlineLevel="0" collapsed="false">
      <c r="A582" s="44" t="n">
        <v>7</v>
      </c>
      <c r="B582" s="44" t="s">
        <v>162</v>
      </c>
      <c r="C582" s="44" t="s">
        <v>158</v>
      </c>
      <c r="D582" s="45" t="str">
        <f aca="true">OFFSET(plates!$B$65,CODE(LEFT(B582,1))-64,-1)&amp;"-"&amp;OFFSET(plates!$B$55,-1,MID(B582,2,3)+0)</f>
        <v>bc219-bc247</v>
      </c>
      <c r="E582" s="46" t="str">
        <f aca="true">OFFSET(plates!$B$65,CODE(LEFT(B582,1))-64,MID(B582,2,3)+0)&amp;""</f>
        <v/>
      </c>
      <c r="F582" s="46"/>
      <c r="G582" s="47"/>
      <c r="H582" s="47"/>
    </row>
    <row r="583" customFormat="false" ht="12.8" hidden="false" customHeight="false" outlineLevel="0" collapsed="false">
      <c r="A583" s="44" t="n">
        <v>7</v>
      </c>
      <c r="B583" s="44" t="s">
        <v>163</v>
      </c>
      <c r="C583" s="44" t="s">
        <v>158</v>
      </c>
      <c r="D583" s="45" t="str">
        <f aca="true">OFFSET(plates!$B$65,CODE(LEFT(B583,1))-64,-1)&amp;"-"&amp;OFFSET(plates!$B$55,-1,MID(B583,2,3)+0)</f>
        <v>bc220-bc247</v>
      </c>
      <c r="E583" s="46" t="str">
        <f aca="true">OFFSET(plates!$B$65,CODE(LEFT(B583,1))-64,MID(B583,2,3)+0)&amp;""</f>
        <v/>
      </c>
      <c r="F583" s="46"/>
      <c r="G583" s="47"/>
      <c r="H583" s="47"/>
    </row>
    <row r="584" customFormat="false" ht="12.8" hidden="false" customHeight="false" outlineLevel="0" collapsed="false">
      <c r="A584" s="44" t="n">
        <v>7</v>
      </c>
      <c r="B584" s="44" t="s">
        <v>164</v>
      </c>
      <c r="C584" s="44" t="s">
        <v>158</v>
      </c>
      <c r="D584" s="45" t="str">
        <f aca="true">OFFSET(plates!$B$65,CODE(LEFT(B584,1))-64,-1)&amp;"-"&amp;OFFSET(plates!$B$55,-1,MID(B584,2,3)+0)</f>
        <v>bc258-bc247</v>
      </c>
      <c r="E584" s="46" t="str">
        <f aca="true">OFFSET(plates!$B$65,CODE(LEFT(B584,1))-64,MID(B584,2,3)+0)&amp;""</f>
        <v/>
      </c>
      <c r="F584" s="46"/>
      <c r="G584" s="47"/>
      <c r="H584" s="47"/>
    </row>
    <row r="585" customFormat="false" ht="12.8" hidden="false" customHeight="false" outlineLevel="0" collapsed="false">
      <c r="A585" s="44" t="n">
        <v>7</v>
      </c>
      <c r="B585" s="44" t="s">
        <v>165</v>
      </c>
      <c r="C585" s="44" t="s">
        <v>158</v>
      </c>
      <c r="D585" s="45" t="str">
        <f aca="true">OFFSET(plates!$B$65,CODE(LEFT(B585,1))-64,-1)&amp;"-"&amp;OFFSET(plates!$B$55,-1,MID(B585,2,3)+0)</f>
        <v>bc264-bc247</v>
      </c>
      <c r="E585" s="46" t="str">
        <f aca="true">OFFSET(plates!$B$65,CODE(LEFT(B585,1))-64,MID(B585,2,3)+0)&amp;""</f>
        <v/>
      </c>
      <c r="F585" s="46"/>
      <c r="G585" s="47"/>
      <c r="H585" s="47"/>
    </row>
    <row r="586" customFormat="false" ht="12.8" hidden="false" customHeight="false" outlineLevel="0" collapsed="false">
      <c r="A586" s="44" t="n">
        <v>7</v>
      </c>
      <c r="B586" s="44" t="s">
        <v>166</v>
      </c>
      <c r="C586" s="44" t="s">
        <v>158</v>
      </c>
      <c r="D586" s="45" t="str">
        <f aca="true">OFFSET(plates!$B$65,CODE(LEFT(B586,1))-64,-1)&amp;"-"&amp;OFFSET(plates!$B$55,-1,MID(B586,2,3)+0)</f>
        <v>bc168-bc286</v>
      </c>
      <c r="E586" s="46" t="str">
        <f aca="true">OFFSET(plates!$B$65,CODE(LEFT(B586,1))-64,MID(B586,2,3)+0)&amp;""</f>
        <v/>
      </c>
      <c r="F586" s="46"/>
      <c r="G586" s="47"/>
      <c r="H586" s="47"/>
    </row>
    <row r="587" customFormat="false" ht="12.8" hidden="false" customHeight="false" outlineLevel="0" collapsed="false">
      <c r="A587" s="44" t="n">
        <v>7</v>
      </c>
      <c r="B587" s="44" t="s">
        <v>167</v>
      </c>
      <c r="C587" s="44" t="s">
        <v>158</v>
      </c>
      <c r="D587" s="45" t="str">
        <f aca="true">OFFSET(plates!$B$65,CODE(LEFT(B587,1))-64,-1)&amp;"-"&amp;OFFSET(plates!$B$55,-1,MID(B587,2,3)+0)</f>
        <v>bc183-bc286</v>
      </c>
      <c r="E587" s="46" t="str">
        <f aca="true">OFFSET(plates!$B$65,CODE(LEFT(B587,1))-64,MID(B587,2,3)+0)&amp;""</f>
        <v/>
      </c>
      <c r="F587" s="46"/>
      <c r="G587" s="47"/>
      <c r="H587" s="47"/>
    </row>
    <row r="588" customFormat="false" ht="12.8" hidden="false" customHeight="false" outlineLevel="0" collapsed="false">
      <c r="A588" s="44" t="n">
        <v>7</v>
      </c>
      <c r="B588" s="44" t="s">
        <v>168</v>
      </c>
      <c r="C588" s="44" t="s">
        <v>158</v>
      </c>
      <c r="D588" s="45" t="str">
        <f aca="true">OFFSET(plates!$B$65,CODE(LEFT(B588,1))-64,-1)&amp;"-"&amp;OFFSET(plates!$B$55,-1,MID(B588,2,3)+0)</f>
        <v>bc192-bc286</v>
      </c>
      <c r="E588" s="46" t="str">
        <f aca="true">OFFSET(plates!$B$65,CODE(LEFT(B588,1))-64,MID(B588,2,3)+0)&amp;""</f>
        <v/>
      </c>
      <c r="F588" s="46"/>
      <c r="G588" s="47"/>
      <c r="H588" s="47"/>
    </row>
    <row r="589" customFormat="false" ht="12.8" hidden="false" customHeight="false" outlineLevel="0" collapsed="false">
      <c r="A589" s="44" t="n">
        <v>7</v>
      </c>
      <c r="B589" s="44" t="s">
        <v>169</v>
      </c>
      <c r="C589" s="44" t="s">
        <v>158</v>
      </c>
      <c r="D589" s="45" t="str">
        <f aca="true">OFFSET(plates!$B$65,CODE(LEFT(B589,1))-64,-1)&amp;"-"&amp;OFFSET(plates!$B$55,-1,MID(B589,2,3)+0)</f>
        <v>bc205-bc286</v>
      </c>
      <c r="E589" s="46" t="str">
        <f aca="true">OFFSET(plates!$B$65,CODE(LEFT(B589,1))-64,MID(B589,2,3)+0)&amp;""</f>
        <v/>
      </c>
      <c r="F589" s="46"/>
      <c r="G589" s="47"/>
      <c r="H589" s="47"/>
    </row>
    <row r="590" customFormat="false" ht="12.8" hidden="false" customHeight="false" outlineLevel="0" collapsed="false">
      <c r="A590" s="44" t="n">
        <v>7</v>
      </c>
      <c r="B590" s="44" t="s">
        <v>170</v>
      </c>
      <c r="C590" s="44" t="s">
        <v>158</v>
      </c>
      <c r="D590" s="45" t="str">
        <f aca="true">OFFSET(plates!$B$65,CODE(LEFT(B590,1))-64,-1)&amp;"-"&amp;OFFSET(plates!$B$55,-1,MID(B590,2,3)+0)</f>
        <v>bc219-bc286</v>
      </c>
      <c r="E590" s="46" t="str">
        <f aca="true">OFFSET(plates!$B$65,CODE(LEFT(B590,1))-64,MID(B590,2,3)+0)&amp;""</f>
        <v/>
      </c>
      <c r="F590" s="46"/>
      <c r="G590" s="47"/>
      <c r="H590" s="47"/>
    </row>
    <row r="591" customFormat="false" ht="12.8" hidden="false" customHeight="false" outlineLevel="0" collapsed="false">
      <c r="A591" s="44" t="n">
        <v>7</v>
      </c>
      <c r="B591" s="44" t="s">
        <v>171</v>
      </c>
      <c r="C591" s="44" t="s">
        <v>158</v>
      </c>
      <c r="D591" s="45" t="str">
        <f aca="true">OFFSET(plates!$B$65,CODE(LEFT(B591,1))-64,-1)&amp;"-"&amp;OFFSET(plates!$B$55,-1,MID(B591,2,3)+0)</f>
        <v>bc220-bc286</v>
      </c>
      <c r="E591" s="46" t="str">
        <f aca="true">OFFSET(plates!$B$65,CODE(LEFT(B591,1))-64,MID(B591,2,3)+0)&amp;""</f>
        <v/>
      </c>
      <c r="F591" s="46"/>
      <c r="G591" s="47"/>
      <c r="H591" s="47"/>
    </row>
    <row r="592" customFormat="false" ht="12.8" hidden="false" customHeight="false" outlineLevel="0" collapsed="false">
      <c r="A592" s="44" t="n">
        <v>7</v>
      </c>
      <c r="B592" s="44" t="s">
        <v>172</v>
      </c>
      <c r="C592" s="44" t="s">
        <v>158</v>
      </c>
      <c r="D592" s="45" t="str">
        <f aca="true">OFFSET(plates!$B$65,CODE(LEFT(B592,1))-64,-1)&amp;"-"&amp;OFFSET(plates!$B$55,-1,MID(B592,2,3)+0)</f>
        <v>bc258-bc286</v>
      </c>
      <c r="E592" s="46" t="str">
        <f aca="true">OFFSET(plates!$B$65,CODE(LEFT(B592,1))-64,MID(B592,2,3)+0)&amp;""</f>
        <v/>
      </c>
      <c r="F592" s="46"/>
      <c r="G592" s="47"/>
      <c r="H592" s="47"/>
    </row>
    <row r="593" customFormat="false" ht="12.8" hidden="false" customHeight="false" outlineLevel="0" collapsed="false">
      <c r="A593" s="44" t="n">
        <v>7</v>
      </c>
      <c r="B593" s="44" t="s">
        <v>173</v>
      </c>
      <c r="C593" s="44" t="s">
        <v>158</v>
      </c>
      <c r="D593" s="45" t="str">
        <f aca="true">OFFSET(plates!$B$65,CODE(LEFT(B593,1))-64,-1)&amp;"-"&amp;OFFSET(plates!$B$55,-1,MID(B593,2,3)+0)</f>
        <v>bc264-bc286</v>
      </c>
      <c r="E593" s="46" t="str">
        <f aca="true">OFFSET(plates!$B$65,CODE(LEFT(B593,1))-64,MID(B593,2,3)+0)&amp;""</f>
        <v/>
      </c>
      <c r="F593" s="46"/>
      <c r="G593" s="47"/>
      <c r="H593" s="47"/>
    </row>
    <row r="594" customFormat="false" ht="12.8" hidden="false" customHeight="false" outlineLevel="0" collapsed="false">
      <c r="A594" s="44" t="n">
        <v>7</v>
      </c>
      <c r="B594" s="44" t="s">
        <v>174</v>
      </c>
      <c r="C594" s="44" t="s">
        <v>158</v>
      </c>
      <c r="D594" s="45" t="str">
        <f aca="true">OFFSET(plates!$B$65,CODE(LEFT(B594,1))-64,-1)&amp;"-"&amp;OFFSET(plates!$B$55,-1,MID(B594,2,3)+0)</f>
        <v>bc168-bc298</v>
      </c>
      <c r="E594" s="46" t="str">
        <f aca="true">OFFSET(plates!$B$65,CODE(LEFT(B594,1))-64,MID(B594,2,3)+0)&amp;""</f>
        <v/>
      </c>
      <c r="F594" s="46"/>
      <c r="G594" s="47"/>
      <c r="H594" s="47"/>
    </row>
    <row r="595" customFormat="false" ht="12.8" hidden="false" customHeight="false" outlineLevel="0" collapsed="false">
      <c r="A595" s="44" t="n">
        <v>7</v>
      </c>
      <c r="B595" s="44" t="s">
        <v>175</v>
      </c>
      <c r="C595" s="44" t="s">
        <v>158</v>
      </c>
      <c r="D595" s="45" t="str">
        <f aca="true">OFFSET(plates!$B$65,CODE(LEFT(B595,1))-64,-1)&amp;"-"&amp;OFFSET(plates!$B$55,-1,MID(B595,2,3)+0)</f>
        <v>bc183-bc298</v>
      </c>
      <c r="E595" s="46" t="str">
        <f aca="true">OFFSET(plates!$B$65,CODE(LEFT(B595,1))-64,MID(B595,2,3)+0)&amp;""</f>
        <v/>
      </c>
      <c r="F595" s="46"/>
      <c r="G595" s="47"/>
      <c r="H595" s="47"/>
    </row>
    <row r="596" customFormat="false" ht="12.8" hidden="false" customHeight="false" outlineLevel="0" collapsed="false">
      <c r="A596" s="44" t="n">
        <v>7</v>
      </c>
      <c r="B596" s="44" t="s">
        <v>176</v>
      </c>
      <c r="C596" s="44" t="s">
        <v>158</v>
      </c>
      <c r="D596" s="45" t="str">
        <f aca="true">OFFSET(plates!$B$65,CODE(LEFT(B596,1))-64,-1)&amp;"-"&amp;OFFSET(plates!$B$55,-1,MID(B596,2,3)+0)</f>
        <v>bc192-bc298</v>
      </c>
      <c r="E596" s="46" t="str">
        <f aca="true">OFFSET(plates!$B$65,CODE(LEFT(B596,1))-64,MID(B596,2,3)+0)&amp;""</f>
        <v/>
      </c>
      <c r="F596" s="46"/>
      <c r="G596" s="47"/>
      <c r="H596" s="47"/>
    </row>
    <row r="597" customFormat="false" ht="12.8" hidden="false" customHeight="false" outlineLevel="0" collapsed="false">
      <c r="A597" s="44" t="n">
        <v>7</v>
      </c>
      <c r="B597" s="44" t="s">
        <v>177</v>
      </c>
      <c r="C597" s="44" t="s">
        <v>158</v>
      </c>
      <c r="D597" s="45" t="str">
        <f aca="true">OFFSET(plates!$B$65,CODE(LEFT(B597,1))-64,-1)&amp;"-"&amp;OFFSET(plates!$B$55,-1,MID(B597,2,3)+0)</f>
        <v>bc205-bc298</v>
      </c>
      <c r="E597" s="46" t="str">
        <f aca="true">OFFSET(plates!$B$65,CODE(LEFT(B597,1))-64,MID(B597,2,3)+0)&amp;""</f>
        <v/>
      </c>
      <c r="F597" s="46"/>
      <c r="G597" s="47"/>
      <c r="H597" s="47"/>
    </row>
    <row r="598" customFormat="false" ht="12.8" hidden="false" customHeight="false" outlineLevel="0" collapsed="false">
      <c r="A598" s="44" t="n">
        <v>7</v>
      </c>
      <c r="B598" s="44" t="s">
        <v>178</v>
      </c>
      <c r="C598" s="44" t="s">
        <v>158</v>
      </c>
      <c r="D598" s="45" t="str">
        <f aca="true">OFFSET(plates!$B$65,CODE(LEFT(B598,1))-64,-1)&amp;"-"&amp;OFFSET(plates!$B$55,-1,MID(B598,2,3)+0)</f>
        <v>bc219-bc298</v>
      </c>
      <c r="E598" s="46" t="str">
        <f aca="true">OFFSET(plates!$B$65,CODE(LEFT(B598,1))-64,MID(B598,2,3)+0)&amp;""</f>
        <v/>
      </c>
      <c r="F598" s="46"/>
      <c r="G598" s="47"/>
      <c r="H598" s="47"/>
    </row>
    <row r="599" customFormat="false" ht="12.8" hidden="false" customHeight="false" outlineLevel="0" collapsed="false">
      <c r="A599" s="44" t="n">
        <v>7</v>
      </c>
      <c r="B599" s="44" t="s">
        <v>179</v>
      </c>
      <c r="C599" s="44" t="s">
        <v>158</v>
      </c>
      <c r="D599" s="45" t="str">
        <f aca="true">OFFSET(plates!$B$65,CODE(LEFT(B599,1))-64,-1)&amp;"-"&amp;OFFSET(plates!$B$55,-1,MID(B599,2,3)+0)</f>
        <v>bc220-bc298</v>
      </c>
      <c r="E599" s="46" t="str">
        <f aca="true">OFFSET(plates!$B$65,CODE(LEFT(B599,1))-64,MID(B599,2,3)+0)&amp;""</f>
        <v/>
      </c>
      <c r="F599" s="46"/>
      <c r="G599" s="47"/>
      <c r="H599" s="47"/>
    </row>
    <row r="600" customFormat="false" ht="12.8" hidden="false" customHeight="false" outlineLevel="0" collapsed="false">
      <c r="A600" s="44" t="n">
        <v>7</v>
      </c>
      <c r="B600" s="44" t="s">
        <v>180</v>
      </c>
      <c r="C600" s="44" t="s">
        <v>158</v>
      </c>
      <c r="D600" s="45" t="str">
        <f aca="true">OFFSET(plates!$B$65,CODE(LEFT(B600,1))-64,-1)&amp;"-"&amp;OFFSET(plates!$B$55,-1,MID(B600,2,3)+0)</f>
        <v>bc258-bc298</v>
      </c>
      <c r="E600" s="46" t="str">
        <f aca="true">OFFSET(plates!$B$65,CODE(LEFT(B600,1))-64,MID(B600,2,3)+0)&amp;""</f>
        <v/>
      </c>
      <c r="F600" s="46"/>
      <c r="G600" s="47"/>
      <c r="H600" s="47"/>
    </row>
    <row r="601" customFormat="false" ht="12.8" hidden="false" customHeight="false" outlineLevel="0" collapsed="false">
      <c r="A601" s="44" t="n">
        <v>7</v>
      </c>
      <c r="B601" s="44" t="s">
        <v>181</v>
      </c>
      <c r="C601" s="44" t="s">
        <v>158</v>
      </c>
      <c r="D601" s="45" t="str">
        <f aca="true">OFFSET(plates!$B$65,CODE(LEFT(B601,1))-64,-1)&amp;"-"&amp;OFFSET(plates!$B$55,-1,MID(B601,2,3)+0)</f>
        <v>bc264-bc298</v>
      </c>
      <c r="E601" s="46" t="str">
        <f aca="true">OFFSET(plates!$B$65,CODE(LEFT(B601,1))-64,MID(B601,2,3)+0)&amp;""</f>
        <v/>
      </c>
      <c r="F601" s="46"/>
      <c r="G601" s="47"/>
      <c r="H601" s="47"/>
    </row>
    <row r="602" customFormat="false" ht="12.8" hidden="false" customHeight="false" outlineLevel="0" collapsed="false">
      <c r="A602" s="44" t="n">
        <v>7</v>
      </c>
      <c r="B602" s="44" t="s">
        <v>182</v>
      </c>
      <c r="C602" s="44" t="s">
        <v>158</v>
      </c>
      <c r="D602" s="45" t="str">
        <f aca="true">OFFSET(plates!$B$65,CODE(LEFT(B602,1))-64,-1)&amp;"-"&amp;OFFSET(plates!$B$55,-1,MID(B602,2,3)+0)</f>
        <v>bc168-bc310</v>
      </c>
      <c r="E602" s="46" t="str">
        <f aca="true">OFFSET(plates!$B$65,CODE(LEFT(B602,1))-64,MID(B602,2,3)+0)&amp;""</f>
        <v/>
      </c>
      <c r="F602" s="46"/>
      <c r="G602" s="47"/>
      <c r="H602" s="47"/>
    </row>
    <row r="603" customFormat="false" ht="12.8" hidden="false" customHeight="false" outlineLevel="0" collapsed="false">
      <c r="A603" s="44" t="n">
        <v>7</v>
      </c>
      <c r="B603" s="44" t="s">
        <v>183</v>
      </c>
      <c r="C603" s="44" t="s">
        <v>158</v>
      </c>
      <c r="D603" s="45" t="str">
        <f aca="true">OFFSET(plates!$B$65,CODE(LEFT(B603,1))-64,-1)&amp;"-"&amp;OFFSET(plates!$B$55,-1,MID(B603,2,3)+0)</f>
        <v>bc183-bc310</v>
      </c>
      <c r="E603" s="46" t="str">
        <f aca="true">OFFSET(plates!$B$65,CODE(LEFT(B603,1))-64,MID(B603,2,3)+0)&amp;""</f>
        <v/>
      </c>
      <c r="F603" s="46"/>
      <c r="G603" s="47"/>
      <c r="H603" s="47"/>
    </row>
    <row r="604" customFormat="false" ht="12.8" hidden="false" customHeight="false" outlineLevel="0" collapsed="false">
      <c r="A604" s="44" t="n">
        <v>7</v>
      </c>
      <c r="B604" s="44" t="s">
        <v>184</v>
      </c>
      <c r="C604" s="44" t="s">
        <v>158</v>
      </c>
      <c r="D604" s="45" t="str">
        <f aca="true">OFFSET(plates!$B$65,CODE(LEFT(B604,1))-64,-1)&amp;"-"&amp;OFFSET(plates!$B$55,-1,MID(B604,2,3)+0)</f>
        <v>bc192-bc310</v>
      </c>
      <c r="E604" s="46" t="str">
        <f aca="true">OFFSET(plates!$B$65,CODE(LEFT(B604,1))-64,MID(B604,2,3)+0)&amp;""</f>
        <v/>
      </c>
      <c r="F604" s="46"/>
      <c r="G604" s="47"/>
      <c r="H604" s="47"/>
    </row>
    <row r="605" customFormat="false" ht="12.8" hidden="false" customHeight="false" outlineLevel="0" collapsed="false">
      <c r="A605" s="44" t="n">
        <v>7</v>
      </c>
      <c r="B605" s="44" t="s">
        <v>185</v>
      </c>
      <c r="C605" s="44" t="s">
        <v>158</v>
      </c>
      <c r="D605" s="45" t="str">
        <f aca="true">OFFSET(plates!$B$65,CODE(LEFT(B605,1))-64,-1)&amp;"-"&amp;OFFSET(plates!$B$55,-1,MID(B605,2,3)+0)</f>
        <v>bc205-bc310</v>
      </c>
      <c r="E605" s="46" t="str">
        <f aca="true">OFFSET(plates!$B$65,CODE(LEFT(B605,1))-64,MID(B605,2,3)+0)&amp;""</f>
        <v/>
      </c>
      <c r="F605" s="46"/>
      <c r="G605" s="47"/>
      <c r="H605" s="47"/>
    </row>
    <row r="606" customFormat="false" ht="12.8" hidden="false" customHeight="false" outlineLevel="0" collapsed="false">
      <c r="A606" s="44" t="n">
        <v>7</v>
      </c>
      <c r="B606" s="44" t="s">
        <v>186</v>
      </c>
      <c r="C606" s="44" t="s">
        <v>158</v>
      </c>
      <c r="D606" s="45" t="str">
        <f aca="true">OFFSET(plates!$B$65,CODE(LEFT(B606,1))-64,-1)&amp;"-"&amp;OFFSET(plates!$B$55,-1,MID(B606,2,3)+0)</f>
        <v>bc219-bc310</v>
      </c>
      <c r="E606" s="46" t="str">
        <f aca="true">OFFSET(plates!$B$65,CODE(LEFT(B606,1))-64,MID(B606,2,3)+0)&amp;""</f>
        <v/>
      </c>
      <c r="F606" s="46"/>
      <c r="G606" s="47"/>
      <c r="H606" s="47"/>
    </row>
    <row r="607" customFormat="false" ht="12.8" hidden="false" customHeight="false" outlineLevel="0" collapsed="false">
      <c r="A607" s="44" t="n">
        <v>7</v>
      </c>
      <c r="B607" s="44" t="s">
        <v>187</v>
      </c>
      <c r="C607" s="44" t="s">
        <v>158</v>
      </c>
      <c r="D607" s="45" t="str">
        <f aca="true">OFFSET(plates!$B$65,CODE(LEFT(B607,1))-64,-1)&amp;"-"&amp;OFFSET(plates!$B$55,-1,MID(B607,2,3)+0)</f>
        <v>bc220-bc310</v>
      </c>
      <c r="E607" s="46" t="str">
        <f aca="true">OFFSET(plates!$B$65,CODE(LEFT(B607,1))-64,MID(B607,2,3)+0)&amp;""</f>
        <v/>
      </c>
      <c r="F607" s="46"/>
      <c r="G607" s="47"/>
      <c r="H607" s="47"/>
    </row>
    <row r="608" customFormat="false" ht="12.8" hidden="false" customHeight="false" outlineLevel="0" collapsed="false">
      <c r="A608" s="44" t="n">
        <v>7</v>
      </c>
      <c r="B608" s="44" t="s">
        <v>188</v>
      </c>
      <c r="C608" s="44" t="s">
        <v>158</v>
      </c>
      <c r="D608" s="45" t="str">
        <f aca="true">OFFSET(plates!$B$65,CODE(LEFT(B608,1))-64,-1)&amp;"-"&amp;OFFSET(plates!$B$55,-1,MID(B608,2,3)+0)</f>
        <v>bc258-bc310</v>
      </c>
      <c r="E608" s="46" t="str">
        <f aca="true">OFFSET(plates!$B$65,CODE(LEFT(B608,1))-64,MID(B608,2,3)+0)&amp;""</f>
        <v/>
      </c>
      <c r="F608" s="46"/>
      <c r="G608" s="47"/>
      <c r="H608" s="47"/>
    </row>
    <row r="609" customFormat="false" ht="12.8" hidden="false" customHeight="false" outlineLevel="0" collapsed="false">
      <c r="A609" s="44" t="n">
        <v>7</v>
      </c>
      <c r="B609" s="44" t="s">
        <v>189</v>
      </c>
      <c r="C609" s="44" t="s">
        <v>158</v>
      </c>
      <c r="D609" s="45" t="str">
        <f aca="true">OFFSET(plates!$B$65,CODE(LEFT(B609,1))-64,-1)&amp;"-"&amp;OFFSET(plates!$B$55,-1,MID(B609,2,3)+0)</f>
        <v>bc264-bc310</v>
      </c>
      <c r="E609" s="46" t="str">
        <f aca="true">OFFSET(plates!$B$65,CODE(LEFT(B609,1))-64,MID(B609,2,3)+0)&amp;""</f>
        <v/>
      </c>
      <c r="F609" s="46"/>
      <c r="G609" s="47"/>
      <c r="H609" s="47"/>
    </row>
    <row r="610" customFormat="false" ht="12.8" hidden="false" customHeight="false" outlineLevel="0" collapsed="false">
      <c r="A610" s="44" t="n">
        <v>7</v>
      </c>
      <c r="B610" s="44" t="s">
        <v>190</v>
      </c>
      <c r="C610" s="44" t="s">
        <v>158</v>
      </c>
      <c r="D610" s="45" t="str">
        <f aca="true">OFFSET(plates!$B$65,CODE(LEFT(B610,1))-64,-1)&amp;"-"&amp;OFFSET(plates!$B$55,-1,MID(B610,2,3)+0)</f>
        <v>bc168-bc314</v>
      </c>
      <c r="E610" s="46" t="str">
        <f aca="true">OFFSET(plates!$B$65,CODE(LEFT(B610,1))-64,MID(B610,2,3)+0)&amp;""</f>
        <v/>
      </c>
      <c r="F610" s="46"/>
      <c r="G610" s="47"/>
      <c r="H610" s="47"/>
    </row>
    <row r="611" customFormat="false" ht="12.8" hidden="false" customHeight="false" outlineLevel="0" collapsed="false">
      <c r="A611" s="44" t="n">
        <v>7</v>
      </c>
      <c r="B611" s="44" t="s">
        <v>191</v>
      </c>
      <c r="C611" s="44" t="s">
        <v>158</v>
      </c>
      <c r="D611" s="45" t="str">
        <f aca="true">OFFSET(plates!$B$65,CODE(LEFT(B611,1))-64,-1)&amp;"-"&amp;OFFSET(plates!$B$55,-1,MID(B611,2,3)+0)</f>
        <v>bc183-bc314</v>
      </c>
      <c r="E611" s="46" t="str">
        <f aca="true">OFFSET(plates!$B$65,CODE(LEFT(B611,1))-64,MID(B611,2,3)+0)&amp;""</f>
        <v/>
      </c>
      <c r="F611" s="46"/>
      <c r="G611" s="47"/>
      <c r="H611" s="47"/>
    </row>
    <row r="612" customFormat="false" ht="12.8" hidden="false" customHeight="false" outlineLevel="0" collapsed="false">
      <c r="A612" s="44" t="n">
        <v>7</v>
      </c>
      <c r="B612" s="44" t="s">
        <v>192</v>
      </c>
      <c r="C612" s="44" t="s">
        <v>158</v>
      </c>
      <c r="D612" s="45" t="str">
        <f aca="true">OFFSET(plates!$B$65,CODE(LEFT(B612,1))-64,-1)&amp;"-"&amp;OFFSET(plates!$B$55,-1,MID(B612,2,3)+0)</f>
        <v>bc192-bc314</v>
      </c>
      <c r="E612" s="46" t="str">
        <f aca="true">OFFSET(plates!$B$65,CODE(LEFT(B612,1))-64,MID(B612,2,3)+0)&amp;""</f>
        <v/>
      </c>
      <c r="F612" s="46"/>
      <c r="G612" s="47"/>
      <c r="H612" s="47"/>
    </row>
    <row r="613" customFormat="false" ht="12.8" hidden="false" customHeight="false" outlineLevel="0" collapsed="false">
      <c r="A613" s="44" t="n">
        <v>7</v>
      </c>
      <c r="B613" s="44" t="s">
        <v>193</v>
      </c>
      <c r="C613" s="44" t="s">
        <v>158</v>
      </c>
      <c r="D613" s="45" t="str">
        <f aca="true">OFFSET(plates!$B$65,CODE(LEFT(B613,1))-64,-1)&amp;"-"&amp;OFFSET(plates!$B$55,-1,MID(B613,2,3)+0)</f>
        <v>bc205-bc314</v>
      </c>
      <c r="E613" s="46" t="str">
        <f aca="true">OFFSET(plates!$B$65,CODE(LEFT(B613,1))-64,MID(B613,2,3)+0)&amp;""</f>
        <v/>
      </c>
      <c r="F613" s="46"/>
      <c r="G613" s="47"/>
      <c r="H613" s="47"/>
    </row>
    <row r="614" customFormat="false" ht="12.8" hidden="false" customHeight="false" outlineLevel="0" collapsed="false">
      <c r="A614" s="44" t="n">
        <v>7</v>
      </c>
      <c r="B614" s="44" t="s">
        <v>194</v>
      </c>
      <c r="C614" s="44" t="s">
        <v>158</v>
      </c>
      <c r="D614" s="45" t="str">
        <f aca="true">OFFSET(plates!$B$65,CODE(LEFT(B614,1))-64,-1)&amp;"-"&amp;OFFSET(plates!$B$55,-1,MID(B614,2,3)+0)</f>
        <v>bc219-bc314</v>
      </c>
      <c r="E614" s="46" t="str">
        <f aca="true">OFFSET(plates!$B$65,CODE(LEFT(B614,1))-64,MID(B614,2,3)+0)&amp;""</f>
        <v/>
      </c>
      <c r="F614" s="46"/>
      <c r="G614" s="47"/>
      <c r="H614" s="47"/>
    </row>
    <row r="615" customFormat="false" ht="12.8" hidden="false" customHeight="false" outlineLevel="0" collapsed="false">
      <c r="A615" s="44" t="n">
        <v>7</v>
      </c>
      <c r="B615" s="44" t="s">
        <v>195</v>
      </c>
      <c r="C615" s="44" t="s">
        <v>158</v>
      </c>
      <c r="D615" s="45" t="str">
        <f aca="true">OFFSET(plates!$B$65,CODE(LEFT(B615,1))-64,-1)&amp;"-"&amp;OFFSET(plates!$B$55,-1,MID(B615,2,3)+0)</f>
        <v>bc220-bc314</v>
      </c>
      <c r="E615" s="46" t="str">
        <f aca="true">OFFSET(plates!$B$65,CODE(LEFT(B615,1))-64,MID(B615,2,3)+0)&amp;""</f>
        <v/>
      </c>
      <c r="F615" s="46"/>
      <c r="G615" s="47"/>
      <c r="H615" s="47"/>
    </row>
    <row r="616" customFormat="false" ht="12.8" hidden="false" customHeight="false" outlineLevel="0" collapsed="false">
      <c r="A616" s="44" t="n">
        <v>7</v>
      </c>
      <c r="B616" s="44" t="s">
        <v>196</v>
      </c>
      <c r="C616" s="44" t="s">
        <v>158</v>
      </c>
      <c r="D616" s="45" t="str">
        <f aca="true">OFFSET(plates!$B$65,CODE(LEFT(B616,1))-64,-1)&amp;"-"&amp;OFFSET(plates!$B$55,-1,MID(B616,2,3)+0)</f>
        <v>bc258-bc314</v>
      </c>
      <c r="E616" s="46" t="str">
        <f aca="true">OFFSET(plates!$B$65,CODE(LEFT(B616,1))-64,MID(B616,2,3)+0)&amp;""</f>
        <v/>
      </c>
      <c r="F616" s="46"/>
      <c r="G616" s="47"/>
      <c r="H616" s="47"/>
    </row>
    <row r="617" customFormat="false" ht="12.8" hidden="false" customHeight="false" outlineLevel="0" collapsed="false">
      <c r="A617" s="44" t="n">
        <v>7</v>
      </c>
      <c r="B617" s="44" t="s">
        <v>197</v>
      </c>
      <c r="C617" s="44" t="s">
        <v>158</v>
      </c>
      <c r="D617" s="45" t="str">
        <f aca="true">OFFSET(plates!$B$65,CODE(LEFT(B617,1))-64,-1)&amp;"-"&amp;OFFSET(plates!$B$55,-1,MID(B617,2,3)+0)</f>
        <v>bc264-bc314</v>
      </c>
      <c r="E617" s="46" t="str">
        <f aca="true">OFFSET(plates!$B$65,CODE(LEFT(B617,1))-64,MID(B617,2,3)+0)&amp;""</f>
        <v/>
      </c>
      <c r="F617" s="46"/>
      <c r="G617" s="47"/>
      <c r="H617" s="47"/>
    </row>
    <row r="618" customFormat="false" ht="12.8" hidden="false" customHeight="false" outlineLevel="0" collapsed="false">
      <c r="A618" s="44" t="n">
        <v>7</v>
      </c>
      <c r="B618" s="44" t="s">
        <v>198</v>
      </c>
      <c r="C618" s="44" t="s">
        <v>158</v>
      </c>
      <c r="D618" s="45" t="str">
        <f aca="true">OFFSET(plates!$B$65,CODE(LEFT(B618,1))-64,-1)&amp;"-"&amp;OFFSET(plates!$B$55,-1,MID(B618,2,3)+0)</f>
        <v>bc168-bc336</v>
      </c>
      <c r="E618" s="46" t="str">
        <f aca="true">OFFSET(plates!$B$65,CODE(LEFT(B618,1))-64,MID(B618,2,3)+0)&amp;""</f>
        <v/>
      </c>
      <c r="F618" s="46"/>
      <c r="G618" s="47"/>
      <c r="H618" s="47"/>
    </row>
    <row r="619" customFormat="false" ht="12.8" hidden="false" customHeight="false" outlineLevel="0" collapsed="false">
      <c r="A619" s="44" t="n">
        <v>7</v>
      </c>
      <c r="B619" s="44" t="s">
        <v>199</v>
      </c>
      <c r="C619" s="44" t="s">
        <v>158</v>
      </c>
      <c r="D619" s="45" t="str">
        <f aca="true">OFFSET(plates!$B$65,CODE(LEFT(B619,1))-64,-1)&amp;"-"&amp;OFFSET(plates!$B$55,-1,MID(B619,2,3)+0)</f>
        <v>bc183-bc336</v>
      </c>
      <c r="E619" s="46" t="str">
        <f aca="true">OFFSET(plates!$B$65,CODE(LEFT(B619,1))-64,MID(B619,2,3)+0)&amp;""</f>
        <v/>
      </c>
      <c r="F619" s="46"/>
      <c r="G619" s="47"/>
      <c r="H619" s="47"/>
    </row>
    <row r="620" customFormat="false" ht="12.8" hidden="false" customHeight="false" outlineLevel="0" collapsed="false">
      <c r="A620" s="44" t="n">
        <v>7</v>
      </c>
      <c r="B620" s="44" t="s">
        <v>200</v>
      </c>
      <c r="C620" s="44" t="s">
        <v>158</v>
      </c>
      <c r="D620" s="45" t="str">
        <f aca="true">OFFSET(plates!$B$65,CODE(LEFT(B620,1))-64,-1)&amp;"-"&amp;OFFSET(plates!$B$55,-1,MID(B620,2,3)+0)</f>
        <v>bc192-bc336</v>
      </c>
      <c r="E620" s="46" t="str">
        <f aca="true">OFFSET(plates!$B$65,CODE(LEFT(B620,1))-64,MID(B620,2,3)+0)&amp;""</f>
        <v/>
      </c>
      <c r="F620" s="46"/>
      <c r="G620" s="47"/>
      <c r="H620" s="47"/>
    </row>
    <row r="621" customFormat="false" ht="12.8" hidden="false" customHeight="false" outlineLevel="0" collapsed="false">
      <c r="A621" s="44" t="n">
        <v>7</v>
      </c>
      <c r="B621" s="44" t="s">
        <v>201</v>
      </c>
      <c r="C621" s="44" t="s">
        <v>158</v>
      </c>
      <c r="D621" s="45" t="str">
        <f aca="true">OFFSET(plates!$B$65,CODE(LEFT(B621,1))-64,-1)&amp;"-"&amp;OFFSET(plates!$B$55,-1,MID(B621,2,3)+0)</f>
        <v>bc205-bc336</v>
      </c>
      <c r="E621" s="46" t="str">
        <f aca="true">OFFSET(plates!$B$65,CODE(LEFT(B621,1))-64,MID(B621,2,3)+0)&amp;""</f>
        <v/>
      </c>
      <c r="F621" s="46"/>
      <c r="G621" s="47"/>
      <c r="H621" s="47"/>
    </row>
    <row r="622" customFormat="false" ht="12.8" hidden="false" customHeight="false" outlineLevel="0" collapsed="false">
      <c r="A622" s="44" t="n">
        <v>7</v>
      </c>
      <c r="B622" s="44" t="s">
        <v>202</v>
      </c>
      <c r="C622" s="44" t="s">
        <v>158</v>
      </c>
      <c r="D622" s="45" t="str">
        <f aca="true">OFFSET(plates!$B$65,CODE(LEFT(B622,1))-64,-1)&amp;"-"&amp;OFFSET(plates!$B$55,-1,MID(B622,2,3)+0)</f>
        <v>bc219-bc336</v>
      </c>
      <c r="E622" s="46" t="str">
        <f aca="true">OFFSET(plates!$B$65,CODE(LEFT(B622,1))-64,MID(B622,2,3)+0)&amp;""</f>
        <v/>
      </c>
      <c r="F622" s="46"/>
      <c r="G622" s="47"/>
      <c r="H622" s="47"/>
    </row>
    <row r="623" customFormat="false" ht="12.8" hidden="false" customHeight="false" outlineLevel="0" collapsed="false">
      <c r="A623" s="44" t="n">
        <v>7</v>
      </c>
      <c r="B623" s="44" t="s">
        <v>203</v>
      </c>
      <c r="C623" s="44" t="s">
        <v>158</v>
      </c>
      <c r="D623" s="45" t="str">
        <f aca="true">OFFSET(plates!$B$65,CODE(LEFT(B623,1))-64,-1)&amp;"-"&amp;OFFSET(plates!$B$55,-1,MID(B623,2,3)+0)</f>
        <v>bc220-bc336</v>
      </c>
      <c r="E623" s="46" t="str">
        <f aca="true">OFFSET(plates!$B$65,CODE(LEFT(B623,1))-64,MID(B623,2,3)+0)&amp;""</f>
        <v/>
      </c>
      <c r="F623" s="46"/>
      <c r="G623" s="47"/>
      <c r="H623" s="47"/>
    </row>
    <row r="624" customFormat="false" ht="12.8" hidden="false" customHeight="false" outlineLevel="0" collapsed="false">
      <c r="A624" s="44" t="n">
        <v>7</v>
      </c>
      <c r="B624" s="44" t="s">
        <v>204</v>
      </c>
      <c r="C624" s="44" t="s">
        <v>158</v>
      </c>
      <c r="D624" s="45" t="str">
        <f aca="true">OFFSET(plates!$B$65,CODE(LEFT(B624,1))-64,-1)&amp;"-"&amp;OFFSET(plates!$B$55,-1,MID(B624,2,3)+0)</f>
        <v>bc258-bc336</v>
      </c>
      <c r="E624" s="46" t="str">
        <f aca="true">OFFSET(plates!$B$65,CODE(LEFT(B624,1))-64,MID(B624,2,3)+0)&amp;""</f>
        <v/>
      </c>
      <c r="F624" s="46"/>
      <c r="G624" s="47"/>
      <c r="H624" s="47"/>
    </row>
    <row r="625" customFormat="false" ht="12.8" hidden="false" customHeight="false" outlineLevel="0" collapsed="false">
      <c r="A625" s="44" t="n">
        <v>7</v>
      </c>
      <c r="B625" s="44" t="s">
        <v>205</v>
      </c>
      <c r="C625" s="44" t="s">
        <v>158</v>
      </c>
      <c r="D625" s="45" t="str">
        <f aca="true">OFFSET(plates!$B$65,CODE(LEFT(B625,1))-64,-1)&amp;"-"&amp;OFFSET(plates!$B$55,-1,MID(B625,2,3)+0)</f>
        <v>bc264-bc336</v>
      </c>
      <c r="E625" s="46" t="str">
        <f aca="true">OFFSET(plates!$B$65,CODE(LEFT(B625,1))-64,MID(B625,2,3)+0)&amp;""</f>
        <v/>
      </c>
      <c r="F625" s="46"/>
      <c r="G625" s="47"/>
      <c r="H625" s="47"/>
    </row>
    <row r="626" customFormat="false" ht="12.8" hidden="false" customHeight="false" outlineLevel="0" collapsed="false">
      <c r="A626" s="44" t="n">
        <v>7</v>
      </c>
      <c r="B626" s="44" t="s">
        <v>206</v>
      </c>
      <c r="C626" s="44" t="s">
        <v>158</v>
      </c>
      <c r="D626" s="45" t="str">
        <f aca="true">OFFSET(plates!$B$65,CODE(LEFT(B626,1))-64,-1)&amp;"-"&amp;OFFSET(plates!$B$55,-1,MID(B626,2,3)+0)</f>
        <v>bc168-bc365</v>
      </c>
      <c r="E626" s="46" t="str">
        <f aca="true">OFFSET(plates!$B$65,CODE(LEFT(B626,1))-64,MID(B626,2,3)+0)&amp;""</f>
        <v/>
      </c>
      <c r="F626" s="46"/>
      <c r="G626" s="47"/>
      <c r="H626" s="47"/>
    </row>
    <row r="627" customFormat="false" ht="12.8" hidden="false" customHeight="false" outlineLevel="0" collapsed="false">
      <c r="A627" s="44" t="n">
        <v>7</v>
      </c>
      <c r="B627" s="44" t="s">
        <v>207</v>
      </c>
      <c r="C627" s="44" t="s">
        <v>158</v>
      </c>
      <c r="D627" s="45" t="str">
        <f aca="true">OFFSET(plates!$B$65,CODE(LEFT(B627,1))-64,-1)&amp;"-"&amp;OFFSET(plates!$B$55,-1,MID(B627,2,3)+0)</f>
        <v>bc183-bc365</v>
      </c>
      <c r="E627" s="46" t="str">
        <f aca="true">OFFSET(plates!$B$65,CODE(LEFT(B627,1))-64,MID(B627,2,3)+0)&amp;""</f>
        <v/>
      </c>
      <c r="F627" s="46"/>
      <c r="G627" s="47"/>
      <c r="H627" s="47"/>
    </row>
    <row r="628" customFormat="false" ht="12.8" hidden="false" customHeight="false" outlineLevel="0" collapsed="false">
      <c r="A628" s="44" t="n">
        <v>7</v>
      </c>
      <c r="B628" s="44" t="s">
        <v>208</v>
      </c>
      <c r="C628" s="44" t="s">
        <v>158</v>
      </c>
      <c r="D628" s="45" t="str">
        <f aca="true">OFFSET(plates!$B$65,CODE(LEFT(B628,1))-64,-1)&amp;"-"&amp;OFFSET(plates!$B$55,-1,MID(B628,2,3)+0)</f>
        <v>bc192-bc365</v>
      </c>
      <c r="E628" s="46" t="str">
        <f aca="true">OFFSET(plates!$B$65,CODE(LEFT(B628,1))-64,MID(B628,2,3)+0)&amp;""</f>
        <v/>
      </c>
      <c r="F628" s="46"/>
      <c r="G628" s="47"/>
      <c r="H628" s="47"/>
    </row>
    <row r="629" customFormat="false" ht="12.8" hidden="false" customHeight="false" outlineLevel="0" collapsed="false">
      <c r="A629" s="44" t="n">
        <v>7</v>
      </c>
      <c r="B629" s="44" t="s">
        <v>209</v>
      </c>
      <c r="C629" s="44" t="s">
        <v>158</v>
      </c>
      <c r="D629" s="45" t="str">
        <f aca="true">OFFSET(plates!$B$65,CODE(LEFT(B629,1))-64,-1)&amp;"-"&amp;OFFSET(plates!$B$55,-1,MID(B629,2,3)+0)</f>
        <v>bc205-bc365</v>
      </c>
      <c r="E629" s="46" t="str">
        <f aca="true">OFFSET(plates!$B$65,CODE(LEFT(B629,1))-64,MID(B629,2,3)+0)&amp;""</f>
        <v/>
      </c>
      <c r="F629" s="46"/>
      <c r="G629" s="47"/>
      <c r="H629" s="47"/>
    </row>
    <row r="630" customFormat="false" ht="12.8" hidden="false" customHeight="false" outlineLevel="0" collapsed="false">
      <c r="A630" s="44" t="n">
        <v>7</v>
      </c>
      <c r="B630" s="44" t="s">
        <v>210</v>
      </c>
      <c r="C630" s="44" t="s">
        <v>158</v>
      </c>
      <c r="D630" s="45" t="str">
        <f aca="true">OFFSET(plates!$B$65,CODE(LEFT(B630,1))-64,-1)&amp;"-"&amp;OFFSET(plates!$B$55,-1,MID(B630,2,3)+0)</f>
        <v>bc219-bc365</v>
      </c>
      <c r="E630" s="46" t="str">
        <f aca="true">OFFSET(plates!$B$65,CODE(LEFT(B630,1))-64,MID(B630,2,3)+0)&amp;""</f>
        <v/>
      </c>
      <c r="F630" s="46"/>
      <c r="G630" s="47"/>
      <c r="H630" s="47"/>
    </row>
    <row r="631" customFormat="false" ht="12.8" hidden="false" customHeight="false" outlineLevel="0" collapsed="false">
      <c r="A631" s="44" t="n">
        <v>7</v>
      </c>
      <c r="B631" s="44" t="s">
        <v>211</v>
      </c>
      <c r="C631" s="44" t="s">
        <v>158</v>
      </c>
      <c r="D631" s="45" t="str">
        <f aca="true">OFFSET(plates!$B$65,CODE(LEFT(B631,1))-64,-1)&amp;"-"&amp;OFFSET(plates!$B$55,-1,MID(B631,2,3)+0)</f>
        <v>bc220-bc365</v>
      </c>
      <c r="E631" s="46" t="str">
        <f aca="true">OFFSET(plates!$B$65,CODE(LEFT(B631,1))-64,MID(B631,2,3)+0)&amp;""</f>
        <v/>
      </c>
      <c r="F631" s="46"/>
      <c r="G631" s="47"/>
      <c r="H631" s="47"/>
    </row>
    <row r="632" customFormat="false" ht="12.8" hidden="false" customHeight="false" outlineLevel="0" collapsed="false">
      <c r="A632" s="44" t="n">
        <v>7</v>
      </c>
      <c r="B632" s="44" t="s">
        <v>212</v>
      </c>
      <c r="C632" s="44" t="s">
        <v>158</v>
      </c>
      <c r="D632" s="45" t="str">
        <f aca="true">OFFSET(plates!$B$65,CODE(LEFT(B632,1))-64,-1)&amp;"-"&amp;OFFSET(plates!$B$55,-1,MID(B632,2,3)+0)</f>
        <v>bc258-bc365</v>
      </c>
      <c r="E632" s="46" t="str">
        <f aca="true">OFFSET(plates!$B$65,CODE(LEFT(B632,1))-64,MID(B632,2,3)+0)&amp;""</f>
        <v/>
      </c>
      <c r="F632" s="46"/>
      <c r="G632" s="47"/>
      <c r="H632" s="47"/>
    </row>
    <row r="633" customFormat="false" ht="12.8" hidden="false" customHeight="false" outlineLevel="0" collapsed="false">
      <c r="A633" s="44" t="n">
        <v>7</v>
      </c>
      <c r="B633" s="44" t="s">
        <v>213</v>
      </c>
      <c r="C633" s="44" t="s">
        <v>158</v>
      </c>
      <c r="D633" s="45" t="str">
        <f aca="true">OFFSET(plates!$B$65,CODE(LEFT(B633,1))-64,-1)&amp;"-"&amp;OFFSET(plates!$B$55,-1,MID(B633,2,3)+0)</f>
        <v>bc264-bc365</v>
      </c>
      <c r="E633" s="46" t="str">
        <f aca="true">OFFSET(plates!$B$65,CODE(LEFT(B633,1))-64,MID(B633,2,3)+0)&amp;""</f>
        <v/>
      </c>
      <c r="F633" s="46"/>
      <c r="G633" s="47"/>
      <c r="H633" s="47"/>
    </row>
    <row r="634" customFormat="false" ht="12.8" hidden="false" customHeight="false" outlineLevel="0" collapsed="false">
      <c r="A634" s="44" t="n">
        <v>7</v>
      </c>
      <c r="B634" s="44" t="s">
        <v>214</v>
      </c>
      <c r="C634" s="44" t="s">
        <v>158</v>
      </c>
      <c r="D634" s="45" t="str">
        <f aca="true">OFFSET(plates!$B$65,CODE(LEFT(B634,1))-64,-1)&amp;"-"&amp;OFFSET(plates!$B$55,-1,MID(B634,2,3)+0)</f>
        <v>bc168-bc370</v>
      </c>
      <c r="E634" s="46" t="str">
        <f aca="true">OFFSET(plates!$B$65,CODE(LEFT(B634,1))-64,MID(B634,2,3)+0)&amp;""</f>
        <v/>
      </c>
      <c r="F634" s="46"/>
      <c r="G634" s="47"/>
      <c r="H634" s="47"/>
    </row>
    <row r="635" customFormat="false" ht="12.8" hidden="false" customHeight="false" outlineLevel="0" collapsed="false">
      <c r="A635" s="44" t="n">
        <v>7</v>
      </c>
      <c r="B635" s="44" t="s">
        <v>215</v>
      </c>
      <c r="C635" s="44" t="s">
        <v>158</v>
      </c>
      <c r="D635" s="45" t="str">
        <f aca="true">OFFSET(plates!$B$65,CODE(LEFT(B635,1))-64,-1)&amp;"-"&amp;OFFSET(plates!$B$55,-1,MID(B635,2,3)+0)</f>
        <v>bc183-bc370</v>
      </c>
      <c r="E635" s="46" t="str">
        <f aca="true">OFFSET(plates!$B$65,CODE(LEFT(B635,1))-64,MID(B635,2,3)+0)&amp;""</f>
        <v/>
      </c>
      <c r="F635" s="46"/>
      <c r="G635" s="47"/>
      <c r="H635" s="47"/>
    </row>
    <row r="636" customFormat="false" ht="12.8" hidden="false" customHeight="false" outlineLevel="0" collapsed="false">
      <c r="A636" s="44" t="n">
        <v>7</v>
      </c>
      <c r="B636" s="44" t="s">
        <v>216</v>
      </c>
      <c r="C636" s="44" t="s">
        <v>158</v>
      </c>
      <c r="D636" s="45" t="str">
        <f aca="true">OFFSET(plates!$B$65,CODE(LEFT(B636,1))-64,-1)&amp;"-"&amp;OFFSET(plates!$B$55,-1,MID(B636,2,3)+0)</f>
        <v>bc192-bc370</v>
      </c>
      <c r="E636" s="46" t="str">
        <f aca="true">OFFSET(plates!$B$65,CODE(LEFT(B636,1))-64,MID(B636,2,3)+0)&amp;""</f>
        <v/>
      </c>
      <c r="F636" s="46"/>
      <c r="G636" s="47"/>
      <c r="H636" s="47"/>
    </row>
    <row r="637" customFormat="false" ht="12.8" hidden="false" customHeight="false" outlineLevel="0" collapsed="false">
      <c r="A637" s="44" t="n">
        <v>7</v>
      </c>
      <c r="B637" s="44" t="s">
        <v>217</v>
      </c>
      <c r="C637" s="44" t="s">
        <v>158</v>
      </c>
      <c r="D637" s="45" t="str">
        <f aca="true">OFFSET(plates!$B$65,CODE(LEFT(B637,1))-64,-1)&amp;"-"&amp;OFFSET(plates!$B$55,-1,MID(B637,2,3)+0)</f>
        <v>bc205-bc370</v>
      </c>
      <c r="E637" s="46" t="str">
        <f aca="true">OFFSET(plates!$B$65,CODE(LEFT(B637,1))-64,MID(B637,2,3)+0)&amp;""</f>
        <v/>
      </c>
      <c r="F637" s="46"/>
      <c r="G637" s="47"/>
      <c r="H637" s="47"/>
    </row>
    <row r="638" customFormat="false" ht="12.8" hidden="false" customHeight="false" outlineLevel="0" collapsed="false">
      <c r="A638" s="44" t="n">
        <v>7</v>
      </c>
      <c r="B638" s="44" t="s">
        <v>218</v>
      </c>
      <c r="C638" s="44" t="s">
        <v>158</v>
      </c>
      <c r="D638" s="45" t="str">
        <f aca="true">OFFSET(plates!$B$65,CODE(LEFT(B638,1))-64,-1)&amp;"-"&amp;OFFSET(plates!$B$55,-1,MID(B638,2,3)+0)</f>
        <v>bc219-bc370</v>
      </c>
      <c r="E638" s="46" t="str">
        <f aca="true">OFFSET(plates!$B$65,CODE(LEFT(B638,1))-64,MID(B638,2,3)+0)&amp;""</f>
        <v/>
      </c>
      <c r="F638" s="46"/>
      <c r="G638" s="47"/>
      <c r="H638" s="47"/>
    </row>
    <row r="639" customFormat="false" ht="12.8" hidden="false" customHeight="false" outlineLevel="0" collapsed="false">
      <c r="A639" s="44" t="n">
        <v>7</v>
      </c>
      <c r="B639" s="44" t="s">
        <v>219</v>
      </c>
      <c r="C639" s="44" t="s">
        <v>158</v>
      </c>
      <c r="D639" s="45" t="str">
        <f aca="true">OFFSET(plates!$B$65,CODE(LEFT(B639,1))-64,-1)&amp;"-"&amp;OFFSET(plates!$B$55,-1,MID(B639,2,3)+0)</f>
        <v>bc220-bc370</v>
      </c>
      <c r="E639" s="46" t="str">
        <f aca="true">OFFSET(plates!$B$65,CODE(LEFT(B639,1))-64,MID(B639,2,3)+0)&amp;""</f>
        <v/>
      </c>
      <c r="F639" s="46"/>
      <c r="G639" s="47"/>
      <c r="H639" s="47"/>
    </row>
    <row r="640" customFormat="false" ht="12.8" hidden="false" customHeight="false" outlineLevel="0" collapsed="false">
      <c r="A640" s="44" t="n">
        <v>7</v>
      </c>
      <c r="B640" s="44" t="s">
        <v>220</v>
      </c>
      <c r="C640" s="44" t="s">
        <v>158</v>
      </c>
      <c r="D640" s="45" t="str">
        <f aca="true">OFFSET(plates!$B$65,CODE(LEFT(B640,1))-64,-1)&amp;"-"&amp;OFFSET(plates!$B$55,-1,MID(B640,2,3)+0)</f>
        <v>bc258-bc370</v>
      </c>
      <c r="E640" s="46" t="str">
        <f aca="true">OFFSET(plates!$B$65,CODE(LEFT(B640,1))-64,MID(B640,2,3)+0)&amp;""</f>
        <v/>
      </c>
      <c r="F640" s="46"/>
      <c r="G640" s="47"/>
      <c r="H640" s="47"/>
    </row>
    <row r="641" customFormat="false" ht="12.8" hidden="false" customHeight="false" outlineLevel="0" collapsed="false">
      <c r="A641" s="44" t="n">
        <v>7</v>
      </c>
      <c r="B641" s="44" t="s">
        <v>221</v>
      </c>
      <c r="C641" s="44" t="s">
        <v>158</v>
      </c>
      <c r="D641" s="45" t="str">
        <f aca="true">OFFSET(plates!$B$65,CODE(LEFT(B641,1))-64,-1)&amp;"-"&amp;OFFSET(plates!$B$55,-1,MID(B641,2,3)+0)</f>
        <v>bc264-bc370</v>
      </c>
      <c r="E641" s="46" t="str">
        <f aca="true">OFFSET(plates!$B$65,CODE(LEFT(B641,1))-64,MID(B641,2,3)+0)&amp;""</f>
        <v/>
      </c>
      <c r="F641" s="46"/>
      <c r="G641" s="47"/>
      <c r="H641" s="47"/>
    </row>
    <row r="642" customFormat="false" ht="12.8" hidden="false" customHeight="false" outlineLevel="0" collapsed="false">
      <c r="A642" s="44" t="n">
        <v>7</v>
      </c>
      <c r="B642" s="44" t="s">
        <v>222</v>
      </c>
      <c r="C642" s="44" t="s">
        <v>158</v>
      </c>
      <c r="D642" s="45" t="str">
        <f aca="true">OFFSET(plates!$B$65,CODE(LEFT(B642,1))-64,-1)&amp;"-"&amp;OFFSET(plates!$B$55,-1,MID(B642,2,3)+0)</f>
        <v>bc168-bc387</v>
      </c>
      <c r="E642" s="46" t="str">
        <f aca="true">OFFSET(plates!$B$65,CODE(LEFT(B642,1))-64,MID(B642,2,3)+0)&amp;""</f>
        <v/>
      </c>
      <c r="F642" s="46"/>
      <c r="G642" s="47"/>
      <c r="H642" s="47"/>
    </row>
    <row r="643" customFormat="false" ht="12.8" hidden="false" customHeight="false" outlineLevel="0" collapsed="false">
      <c r="A643" s="44" t="n">
        <v>7</v>
      </c>
      <c r="B643" s="44" t="s">
        <v>223</v>
      </c>
      <c r="C643" s="44" t="s">
        <v>158</v>
      </c>
      <c r="D643" s="45" t="str">
        <f aca="true">OFFSET(plates!$B$65,CODE(LEFT(B643,1))-64,-1)&amp;"-"&amp;OFFSET(plates!$B$55,-1,MID(B643,2,3)+0)</f>
        <v>bc183-bc387</v>
      </c>
      <c r="E643" s="46" t="str">
        <f aca="true">OFFSET(plates!$B$65,CODE(LEFT(B643,1))-64,MID(B643,2,3)+0)&amp;""</f>
        <v/>
      </c>
      <c r="F643" s="46"/>
      <c r="G643" s="47"/>
      <c r="H643" s="47"/>
    </row>
    <row r="644" customFormat="false" ht="12.8" hidden="false" customHeight="false" outlineLevel="0" collapsed="false">
      <c r="A644" s="44" t="n">
        <v>7</v>
      </c>
      <c r="B644" s="44" t="s">
        <v>224</v>
      </c>
      <c r="C644" s="44" t="s">
        <v>158</v>
      </c>
      <c r="D644" s="45" t="str">
        <f aca="true">OFFSET(plates!$B$65,CODE(LEFT(B644,1))-64,-1)&amp;"-"&amp;OFFSET(plates!$B$55,-1,MID(B644,2,3)+0)</f>
        <v>bc192-bc387</v>
      </c>
      <c r="E644" s="46" t="str">
        <f aca="true">OFFSET(plates!$B$65,CODE(LEFT(B644,1))-64,MID(B644,2,3)+0)&amp;""</f>
        <v/>
      </c>
      <c r="F644" s="46"/>
      <c r="G644" s="47"/>
      <c r="H644" s="47"/>
    </row>
    <row r="645" customFormat="false" ht="12.8" hidden="false" customHeight="false" outlineLevel="0" collapsed="false">
      <c r="A645" s="44" t="n">
        <v>7</v>
      </c>
      <c r="B645" s="44" t="s">
        <v>225</v>
      </c>
      <c r="C645" s="44" t="s">
        <v>158</v>
      </c>
      <c r="D645" s="45" t="str">
        <f aca="true">OFFSET(plates!$B$65,CODE(LEFT(B645,1))-64,-1)&amp;"-"&amp;OFFSET(plates!$B$55,-1,MID(B645,2,3)+0)</f>
        <v>bc205-bc387</v>
      </c>
      <c r="E645" s="46" t="str">
        <f aca="true">OFFSET(plates!$B$65,CODE(LEFT(B645,1))-64,MID(B645,2,3)+0)&amp;""</f>
        <v/>
      </c>
      <c r="F645" s="46"/>
      <c r="G645" s="47"/>
      <c r="H645" s="47"/>
    </row>
    <row r="646" customFormat="false" ht="12.8" hidden="false" customHeight="false" outlineLevel="0" collapsed="false">
      <c r="A646" s="44" t="n">
        <v>7</v>
      </c>
      <c r="B646" s="44" t="s">
        <v>226</v>
      </c>
      <c r="C646" s="44" t="s">
        <v>158</v>
      </c>
      <c r="D646" s="45" t="str">
        <f aca="true">OFFSET(plates!$B$65,CODE(LEFT(B646,1))-64,-1)&amp;"-"&amp;OFFSET(plates!$B$55,-1,MID(B646,2,3)+0)</f>
        <v>bc219-bc387</v>
      </c>
      <c r="E646" s="46" t="str">
        <f aca="true">OFFSET(plates!$B$65,CODE(LEFT(B646,1))-64,MID(B646,2,3)+0)&amp;""</f>
        <v/>
      </c>
      <c r="F646" s="46"/>
      <c r="G646" s="47"/>
      <c r="H646" s="47"/>
    </row>
    <row r="647" customFormat="false" ht="12.8" hidden="false" customHeight="false" outlineLevel="0" collapsed="false">
      <c r="A647" s="44" t="n">
        <v>7</v>
      </c>
      <c r="B647" s="44" t="s">
        <v>227</v>
      </c>
      <c r="C647" s="44" t="s">
        <v>158</v>
      </c>
      <c r="D647" s="45" t="str">
        <f aca="true">OFFSET(plates!$B$65,CODE(LEFT(B647,1))-64,-1)&amp;"-"&amp;OFFSET(plates!$B$55,-1,MID(B647,2,3)+0)</f>
        <v>bc220-bc387</v>
      </c>
      <c r="E647" s="46" t="str">
        <f aca="true">OFFSET(plates!$B$65,CODE(LEFT(B647,1))-64,MID(B647,2,3)+0)&amp;""</f>
        <v/>
      </c>
      <c r="F647" s="46"/>
      <c r="G647" s="47"/>
      <c r="H647" s="47"/>
    </row>
    <row r="648" customFormat="false" ht="12.8" hidden="false" customHeight="false" outlineLevel="0" collapsed="false">
      <c r="A648" s="44" t="n">
        <v>7</v>
      </c>
      <c r="B648" s="44" t="s">
        <v>228</v>
      </c>
      <c r="C648" s="44" t="s">
        <v>158</v>
      </c>
      <c r="D648" s="45" t="str">
        <f aca="true">OFFSET(plates!$B$65,CODE(LEFT(B648,1))-64,-1)&amp;"-"&amp;OFFSET(plates!$B$55,-1,MID(B648,2,3)+0)</f>
        <v>bc258-bc387</v>
      </c>
      <c r="E648" s="46" t="str">
        <f aca="true">OFFSET(plates!$B$65,CODE(LEFT(B648,1))-64,MID(B648,2,3)+0)&amp;""</f>
        <v/>
      </c>
      <c r="F648" s="46"/>
      <c r="G648" s="47"/>
      <c r="H648" s="47"/>
    </row>
    <row r="649" customFormat="false" ht="12.8" hidden="false" customHeight="false" outlineLevel="0" collapsed="false">
      <c r="A649" s="44" t="n">
        <v>7</v>
      </c>
      <c r="B649" s="44" t="s">
        <v>229</v>
      </c>
      <c r="C649" s="44" t="s">
        <v>158</v>
      </c>
      <c r="D649" s="45" t="str">
        <f aca="true">OFFSET(plates!$B$65,CODE(LEFT(B649,1))-64,-1)&amp;"-"&amp;OFFSET(plates!$B$55,-1,MID(B649,2,3)+0)</f>
        <v>bc264-bc387</v>
      </c>
      <c r="E649" s="46" t="str">
        <f aca="true">OFFSET(plates!$B$65,CODE(LEFT(B649,1))-64,MID(B649,2,3)+0)&amp;""</f>
        <v/>
      </c>
      <c r="F649" s="46"/>
      <c r="G649" s="47"/>
      <c r="H649" s="47"/>
    </row>
    <row r="650" customFormat="false" ht="12.8" hidden="false" customHeight="false" outlineLevel="0" collapsed="false">
      <c r="A650" s="44" t="n">
        <v>7</v>
      </c>
      <c r="B650" s="44" t="s">
        <v>230</v>
      </c>
      <c r="C650" s="44" t="s">
        <v>158</v>
      </c>
      <c r="D650" s="45" t="str">
        <f aca="true">OFFSET(plates!$B$65,CODE(LEFT(B650,1))-64,-1)&amp;"-"&amp;OFFSET(plates!$B$55,-1,MID(B650,2,3)+0)</f>
        <v>bc168-bc388</v>
      </c>
      <c r="E650" s="46" t="str">
        <f aca="true">OFFSET(plates!$B$65,CODE(LEFT(B650,1))-64,MID(B650,2,3)+0)&amp;""</f>
        <v/>
      </c>
      <c r="F650" s="46"/>
      <c r="G650" s="47"/>
      <c r="H650" s="47"/>
    </row>
    <row r="651" customFormat="false" ht="12.8" hidden="false" customHeight="false" outlineLevel="0" collapsed="false">
      <c r="A651" s="44" t="n">
        <v>7</v>
      </c>
      <c r="B651" s="44" t="s">
        <v>231</v>
      </c>
      <c r="C651" s="44" t="s">
        <v>158</v>
      </c>
      <c r="D651" s="45" t="str">
        <f aca="true">OFFSET(plates!$B$65,CODE(LEFT(B651,1))-64,-1)&amp;"-"&amp;OFFSET(plates!$B$55,-1,MID(B651,2,3)+0)</f>
        <v>bc183-bc388</v>
      </c>
      <c r="E651" s="46" t="str">
        <f aca="true">OFFSET(plates!$B$65,CODE(LEFT(B651,1))-64,MID(B651,2,3)+0)&amp;""</f>
        <v/>
      </c>
      <c r="F651" s="46"/>
      <c r="G651" s="47"/>
      <c r="H651" s="47"/>
    </row>
    <row r="652" customFormat="false" ht="12.8" hidden="false" customHeight="false" outlineLevel="0" collapsed="false">
      <c r="A652" s="44" t="n">
        <v>7</v>
      </c>
      <c r="B652" s="44" t="s">
        <v>232</v>
      </c>
      <c r="C652" s="44" t="s">
        <v>158</v>
      </c>
      <c r="D652" s="45" t="str">
        <f aca="true">OFFSET(plates!$B$65,CODE(LEFT(B652,1))-64,-1)&amp;"-"&amp;OFFSET(plates!$B$55,-1,MID(B652,2,3)+0)</f>
        <v>bc192-bc388</v>
      </c>
      <c r="E652" s="46" t="str">
        <f aca="true">OFFSET(plates!$B$65,CODE(LEFT(B652,1))-64,MID(B652,2,3)+0)&amp;""</f>
        <v/>
      </c>
      <c r="F652" s="46"/>
      <c r="G652" s="47"/>
      <c r="H652" s="47"/>
    </row>
    <row r="653" s="48" customFormat="true" ht="12.8" hidden="false" customHeight="false" outlineLevel="0" collapsed="false">
      <c r="A653" s="44" t="n">
        <v>7</v>
      </c>
      <c r="B653" s="44" t="s">
        <v>233</v>
      </c>
      <c r="C653" s="44" t="s">
        <v>158</v>
      </c>
      <c r="D653" s="45" t="str">
        <f aca="true">OFFSET(plates!$B$65,CODE(LEFT(B653,1))-64,-1)&amp;"-"&amp;OFFSET(plates!$B$55,-1,MID(B653,2,3)+0)</f>
        <v>bc205-bc388</v>
      </c>
      <c r="E653" s="46" t="str">
        <f aca="true">OFFSET(plates!$B$65,CODE(LEFT(B653,1))-64,MID(B653,2,3)+0)&amp;""</f>
        <v/>
      </c>
      <c r="F653" s="46"/>
      <c r="G653" s="47"/>
      <c r="H653" s="47"/>
      <c r="I653" s="36"/>
      <c r="J653" s="36"/>
      <c r="K653" s="36"/>
      <c r="L653" s="36"/>
      <c r="M653" s="36"/>
    </row>
    <row r="654" customFormat="false" ht="12.8" hidden="false" customHeight="false" outlineLevel="0" collapsed="false">
      <c r="A654" s="44" t="n">
        <v>7</v>
      </c>
      <c r="B654" s="44" t="s">
        <v>234</v>
      </c>
      <c r="C654" s="44" t="s">
        <v>158</v>
      </c>
      <c r="D654" s="45" t="str">
        <f aca="true">OFFSET(plates!$B$65,CODE(LEFT(B654,1))-64,-1)&amp;"-"&amp;OFFSET(plates!$B$55,-1,MID(B654,2,3)+0)</f>
        <v>bc219-bc388</v>
      </c>
      <c r="E654" s="46" t="str">
        <f aca="true">OFFSET(plates!$B$65,CODE(LEFT(B654,1))-64,MID(B654,2,3)+0)&amp;""</f>
        <v/>
      </c>
      <c r="F654" s="46"/>
      <c r="G654" s="47"/>
      <c r="H654" s="47"/>
    </row>
    <row r="655" customFormat="false" ht="12.8" hidden="false" customHeight="false" outlineLevel="0" collapsed="false">
      <c r="A655" s="44" t="n">
        <v>7</v>
      </c>
      <c r="B655" s="44" t="s">
        <v>235</v>
      </c>
      <c r="C655" s="44" t="s">
        <v>158</v>
      </c>
      <c r="D655" s="45" t="str">
        <f aca="true">OFFSET(plates!$B$65,CODE(LEFT(B655,1))-64,-1)&amp;"-"&amp;OFFSET(plates!$B$55,-1,MID(B655,2,3)+0)</f>
        <v>bc220-bc388</v>
      </c>
      <c r="E655" s="46" t="str">
        <f aca="true">OFFSET(plates!$B$65,CODE(LEFT(B655,1))-64,MID(B655,2,3)+0)&amp;""</f>
        <v/>
      </c>
      <c r="F655" s="46"/>
      <c r="G655" s="47"/>
      <c r="H655" s="47"/>
    </row>
    <row r="656" customFormat="false" ht="12.8" hidden="false" customHeight="false" outlineLevel="0" collapsed="false">
      <c r="A656" s="44" t="n">
        <v>7</v>
      </c>
      <c r="B656" s="44" t="s">
        <v>236</v>
      </c>
      <c r="C656" s="44" t="s">
        <v>158</v>
      </c>
      <c r="D656" s="45" t="str">
        <f aca="true">OFFSET(plates!$B$65,CODE(LEFT(B656,1))-64,-1)&amp;"-"&amp;OFFSET(plates!$B$55,-1,MID(B656,2,3)+0)</f>
        <v>bc258-bc388</v>
      </c>
      <c r="E656" s="46" t="str">
        <f aca="true">OFFSET(plates!$B$65,CODE(LEFT(B656,1))-64,MID(B656,2,3)+0)&amp;""</f>
        <v/>
      </c>
      <c r="F656" s="46"/>
      <c r="G656" s="47"/>
      <c r="H656" s="47"/>
    </row>
    <row r="657" customFormat="false" ht="12.8" hidden="false" customHeight="false" outlineLevel="0" collapsed="false">
      <c r="A657" s="44" t="n">
        <v>7</v>
      </c>
      <c r="B657" s="44" t="s">
        <v>237</v>
      </c>
      <c r="C657" s="44" t="s">
        <v>158</v>
      </c>
      <c r="D657" s="45" t="str">
        <f aca="true">OFFSET(plates!$B$65,CODE(LEFT(B657,1))-64,-1)&amp;"-"&amp;OFFSET(plates!$B$55,-1,MID(B657,2,3)+0)</f>
        <v>bc264-bc388</v>
      </c>
      <c r="E657" s="46" t="str">
        <f aca="true">OFFSET(plates!$B$65,CODE(LEFT(B657,1))-64,MID(B657,2,3)+0)&amp;""</f>
        <v/>
      </c>
      <c r="F657" s="46"/>
      <c r="G657" s="47"/>
      <c r="H657" s="47"/>
    </row>
    <row r="658" customFormat="false" ht="12.8" hidden="false" customHeight="false" outlineLevel="0" collapsed="false">
      <c r="A658" s="44" t="n">
        <v>7</v>
      </c>
      <c r="B658" s="44" t="s">
        <v>238</v>
      </c>
      <c r="C658" s="44" t="s">
        <v>158</v>
      </c>
      <c r="D658" s="45" t="str">
        <f aca="true">OFFSET(plates!$B$65,CODE(LEFT(B658,1))-64,-1)&amp;"-"&amp;OFFSET(plates!$B$55,-1,MID(B658,2,3)+0)</f>
        <v>bc168-bc396</v>
      </c>
      <c r="E658" s="46" t="str">
        <f aca="true">OFFSET(plates!$B$65,CODE(LEFT(B658,1))-64,MID(B658,2,3)+0)&amp;""</f>
        <v/>
      </c>
      <c r="F658" s="46"/>
      <c r="G658" s="47"/>
      <c r="H658" s="47"/>
    </row>
    <row r="659" customFormat="false" ht="12.8" hidden="false" customHeight="false" outlineLevel="0" collapsed="false">
      <c r="A659" s="44" t="n">
        <v>7</v>
      </c>
      <c r="B659" s="44" t="s">
        <v>239</v>
      </c>
      <c r="C659" s="44" t="s">
        <v>158</v>
      </c>
      <c r="D659" s="45" t="str">
        <f aca="true">OFFSET(plates!$B$65,CODE(LEFT(B659,1))-64,-1)&amp;"-"&amp;OFFSET(plates!$B$55,-1,MID(B659,2,3)+0)</f>
        <v>bc183-bc396</v>
      </c>
      <c r="E659" s="46" t="str">
        <f aca="true">OFFSET(plates!$B$65,CODE(LEFT(B659,1))-64,MID(B659,2,3)+0)&amp;""</f>
        <v/>
      </c>
      <c r="F659" s="46"/>
      <c r="G659" s="47"/>
      <c r="H659" s="47"/>
    </row>
    <row r="660" customFormat="false" ht="12.8" hidden="false" customHeight="false" outlineLevel="0" collapsed="false">
      <c r="A660" s="44" t="n">
        <v>7</v>
      </c>
      <c r="B660" s="44" t="s">
        <v>240</v>
      </c>
      <c r="C660" s="44" t="s">
        <v>158</v>
      </c>
      <c r="D660" s="45" t="str">
        <f aca="true">OFFSET(plates!$B$65,CODE(LEFT(B660,1))-64,-1)&amp;"-"&amp;OFFSET(plates!$B$55,-1,MID(B660,2,3)+0)</f>
        <v>bc192-bc396</v>
      </c>
      <c r="E660" s="46" t="str">
        <f aca="true">OFFSET(plates!$B$65,CODE(LEFT(B660,1))-64,MID(B660,2,3)+0)&amp;""</f>
        <v/>
      </c>
      <c r="F660" s="46"/>
      <c r="G660" s="47"/>
      <c r="H660" s="47"/>
    </row>
    <row r="661" customFormat="false" ht="12.8" hidden="false" customHeight="false" outlineLevel="0" collapsed="false">
      <c r="A661" s="44" t="n">
        <v>7</v>
      </c>
      <c r="B661" s="44" t="s">
        <v>241</v>
      </c>
      <c r="C661" s="44" t="s">
        <v>158</v>
      </c>
      <c r="D661" s="45" t="str">
        <f aca="true">OFFSET(plates!$B$65,CODE(LEFT(B661,1))-64,-1)&amp;"-"&amp;OFFSET(plates!$B$55,-1,MID(B661,2,3)+0)</f>
        <v>bc205-bc396</v>
      </c>
      <c r="E661" s="46" t="str">
        <f aca="true">OFFSET(plates!$B$65,CODE(LEFT(B661,1))-64,MID(B661,2,3)+0)&amp;""</f>
        <v/>
      </c>
      <c r="F661" s="46"/>
      <c r="G661" s="47"/>
      <c r="H661" s="47"/>
    </row>
    <row r="662" customFormat="false" ht="12.8" hidden="false" customHeight="false" outlineLevel="0" collapsed="false">
      <c r="A662" s="44" t="n">
        <v>7</v>
      </c>
      <c r="B662" s="44" t="s">
        <v>242</v>
      </c>
      <c r="C662" s="44" t="s">
        <v>158</v>
      </c>
      <c r="D662" s="45" t="str">
        <f aca="true">OFFSET(plates!$B$65,CODE(LEFT(B662,1))-64,-1)&amp;"-"&amp;OFFSET(plates!$B$55,-1,MID(B662,2,3)+0)</f>
        <v>bc219-bc396</v>
      </c>
      <c r="E662" s="46" t="str">
        <f aca="true">OFFSET(plates!$B$65,CODE(LEFT(B662,1))-64,MID(B662,2,3)+0)&amp;""</f>
        <v/>
      </c>
      <c r="F662" s="46"/>
      <c r="G662" s="47"/>
      <c r="H662" s="47"/>
    </row>
    <row r="663" customFormat="false" ht="12.8" hidden="false" customHeight="false" outlineLevel="0" collapsed="false">
      <c r="A663" s="44" t="n">
        <v>7</v>
      </c>
      <c r="B663" s="44" t="s">
        <v>243</v>
      </c>
      <c r="C663" s="44" t="s">
        <v>158</v>
      </c>
      <c r="D663" s="45" t="str">
        <f aca="true">OFFSET(plates!$B$65,CODE(LEFT(B663,1))-64,-1)&amp;"-"&amp;OFFSET(plates!$B$55,-1,MID(B663,2,3)+0)</f>
        <v>bc220-bc396</v>
      </c>
      <c r="E663" s="46" t="str">
        <f aca="true">OFFSET(plates!$B$65,CODE(LEFT(B663,1))-64,MID(B663,2,3)+0)&amp;""</f>
        <v/>
      </c>
      <c r="F663" s="46"/>
      <c r="G663" s="47"/>
      <c r="H663" s="47"/>
    </row>
    <row r="664" customFormat="false" ht="12.8" hidden="false" customHeight="false" outlineLevel="0" collapsed="false">
      <c r="A664" s="44" t="n">
        <v>7</v>
      </c>
      <c r="B664" s="44" t="s">
        <v>244</v>
      </c>
      <c r="C664" s="44" t="s">
        <v>158</v>
      </c>
      <c r="D664" s="45" t="str">
        <f aca="true">OFFSET(plates!$B$65,CODE(LEFT(B664,1))-64,-1)&amp;"-"&amp;OFFSET(plates!$B$55,-1,MID(B664,2,3)+0)</f>
        <v>bc258-bc396</v>
      </c>
      <c r="E664" s="46" t="str">
        <f aca="true">OFFSET(plates!$B$65,CODE(LEFT(B664,1))-64,MID(B664,2,3)+0)&amp;""</f>
        <v/>
      </c>
      <c r="F664" s="46"/>
      <c r="G664" s="47"/>
      <c r="H664" s="47"/>
    </row>
    <row r="665" customFormat="false" ht="12.8" hidden="false" customHeight="false" outlineLevel="0" collapsed="false">
      <c r="A665" s="44" t="n">
        <v>7</v>
      </c>
      <c r="B665" s="44" t="s">
        <v>245</v>
      </c>
      <c r="C665" s="44" t="s">
        <v>158</v>
      </c>
      <c r="D665" s="45" t="str">
        <f aca="true">OFFSET(plates!$B$65,CODE(LEFT(B665,1))-64,-1)&amp;"-"&amp;OFFSET(plates!$B$55,-1,MID(B665,2,3)+0)</f>
        <v>bc264-bc396</v>
      </c>
      <c r="E665" s="46" t="str">
        <f aca="true">OFFSET(plates!$B$65,CODE(LEFT(B665,1))-64,MID(B665,2,3)+0)&amp;""</f>
        <v/>
      </c>
      <c r="F665" s="46"/>
      <c r="G665" s="47"/>
      <c r="H665" s="47"/>
    </row>
    <row r="666" customFormat="false" ht="12.8" hidden="false" customHeight="false" outlineLevel="0" collapsed="false">
      <c r="A666" s="44" t="n">
        <v>7</v>
      </c>
      <c r="B666" s="44" t="s">
        <v>246</v>
      </c>
      <c r="C666" s="44" t="s">
        <v>158</v>
      </c>
      <c r="D666" s="45" t="str">
        <f aca="true">OFFSET(plates!$B$65,CODE(LEFT(B666,1))-64,-1)&amp;"-"&amp;OFFSET(plates!$B$55,-1,MID(B666,2,3)+0)</f>
        <v>bc168-bc397</v>
      </c>
      <c r="E666" s="46" t="str">
        <f aca="true">OFFSET(plates!$B$65,CODE(LEFT(B666,1))-64,MID(B666,2,3)+0)&amp;""</f>
        <v/>
      </c>
      <c r="F666" s="46"/>
      <c r="G666" s="47"/>
      <c r="H666" s="47"/>
    </row>
    <row r="667" customFormat="false" ht="12.8" hidden="false" customHeight="false" outlineLevel="0" collapsed="false">
      <c r="A667" s="44" t="n">
        <v>7</v>
      </c>
      <c r="B667" s="44" t="s">
        <v>247</v>
      </c>
      <c r="C667" s="44" t="s">
        <v>158</v>
      </c>
      <c r="D667" s="45" t="str">
        <f aca="true">OFFSET(plates!$B$65,CODE(LEFT(B667,1))-64,-1)&amp;"-"&amp;OFFSET(plates!$B$55,-1,MID(B667,2,3)+0)</f>
        <v>bc183-bc397</v>
      </c>
      <c r="E667" s="46" t="str">
        <f aca="true">OFFSET(plates!$B$65,CODE(LEFT(B667,1))-64,MID(B667,2,3)+0)&amp;""</f>
        <v/>
      </c>
      <c r="F667" s="46"/>
      <c r="G667" s="47"/>
      <c r="H667" s="47"/>
    </row>
    <row r="668" customFormat="false" ht="12.8" hidden="false" customHeight="false" outlineLevel="0" collapsed="false">
      <c r="A668" s="44" t="n">
        <v>7</v>
      </c>
      <c r="B668" s="44" t="s">
        <v>248</v>
      </c>
      <c r="C668" s="44" t="s">
        <v>158</v>
      </c>
      <c r="D668" s="45" t="str">
        <f aca="true">OFFSET(plates!$B$65,CODE(LEFT(B668,1))-64,-1)&amp;"-"&amp;OFFSET(plates!$B$55,-1,MID(B668,2,3)+0)</f>
        <v>bc192-bc397</v>
      </c>
      <c r="E668" s="46" t="str">
        <f aca="true">OFFSET(plates!$B$65,CODE(LEFT(B668,1))-64,MID(B668,2,3)+0)&amp;""</f>
        <v/>
      </c>
      <c r="F668" s="46"/>
      <c r="G668" s="47"/>
      <c r="H668" s="47"/>
    </row>
    <row r="669" customFormat="false" ht="12.8" hidden="false" customHeight="false" outlineLevel="0" collapsed="false">
      <c r="A669" s="44" t="n">
        <v>7</v>
      </c>
      <c r="B669" s="44" t="s">
        <v>249</v>
      </c>
      <c r="C669" s="44" t="s">
        <v>158</v>
      </c>
      <c r="D669" s="45" t="str">
        <f aca="true">OFFSET(plates!$B$65,CODE(LEFT(B669,1))-64,-1)&amp;"-"&amp;OFFSET(plates!$B$55,-1,MID(B669,2,3)+0)</f>
        <v>bc205-bc397</v>
      </c>
      <c r="E669" s="46" t="str">
        <f aca="true">OFFSET(plates!$B$65,CODE(LEFT(B669,1))-64,MID(B669,2,3)+0)&amp;""</f>
        <v/>
      </c>
      <c r="F669" s="46"/>
      <c r="G669" s="47"/>
      <c r="H669" s="47"/>
    </row>
    <row r="670" customFormat="false" ht="12.8" hidden="false" customHeight="false" outlineLevel="0" collapsed="false">
      <c r="A670" s="44" t="n">
        <v>7</v>
      </c>
      <c r="B670" s="44" t="s">
        <v>250</v>
      </c>
      <c r="C670" s="44" t="s">
        <v>158</v>
      </c>
      <c r="D670" s="45" t="str">
        <f aca="true">OFFSET(plates!$B$65,CODE(LEFT(B670,1))-64,-1)&amp;"-"&amp;OFFSET(plates!$B$55,-1,MID(B670,2,3)+0)</f>
        <v>bc219-bc397</v>
      </c>
      <c r="E670" s="46" t="str">
        <f aca="true">OFFSET(plates!$B$65,CODE(LEFT(B670,1))-64,MID(B670,2,3)+0)&amp;""</f>
        <v/>
      </c>
      <c r="F670" s="46"/>
      <c r="G670" s="47"/>
      <c r="H670" s="47"/>
    </row>
    <row r="671" customFormat="false" ht="12.8" hidden="false" customHeight="false" outlineLevel="0" collapsed="false">
      <c r="A671" s="44" t="n">
        <v>7</v>
      </c>
      <c r="B671" s="44" t="s">
        <v>251</v>
      </c>
      <c r="C671" s="44" t="s">
        <v>158</v>
      </c>
      <c r="D671" s="45" t="str">
        <f aca="true">OFFSET(plates!$B$65,CODE(LEFT(B671,1))-64,-1)&amp;"-"&amp;OFFSET(plates!$B$55,-1,MID(B671,2,3)+0)</f>
        <v>bc220-bc397</v>
      </c>
      <c r="E671" s="46" t="str">
        <f aca="true">OFFSET(plates!$B$65,CODE(LEFT(B671,1))-64,MID(B671,2,3)+0)&amp;""</f>
        <v/>
      </c>
      <c r="F671" s="46"/>
      <c r="G671" s="47"/>
      <c r="H671" s="47"/>
      <c r="I671" s="36"/>
      <c r="J671" s="36"/>
      <c r="K671" s="36"/>
      <c r="L671" s="36"/>
      <c r="M671" s="36"/>
    </row>
    <row r="672" customFormat="false" ht="12.8" hidden="false" customHeight="false" outlineLevel="0" collapsed="false">
      <c r="A672" s="44" t="n">
        <v>7</v>
      </c>
      <c r="B672" s="44" t="s">
        <v>252</v>
      </c>
      <c r="C672" s="44" t="s">
        <v>158</v>
      </c>
      <c r="D672" s="45" t="str">
        <f aca="true">OFFSET(plates!$B$65,CODE(LEFT(B672,1))-64,-1)&amp;"-"&amp;OFFSET(plates!$B$55,-1,MID(B672,2,3)+0)</f>
        <v>bc258-bc397</v>
      </c>
      <c r="E672" s="46" t="str">
        <f aca="true">OFFSET(plates!$B$65,CODE(LEFT(B672,1))-64,MID(B672,2,3)+0)&amp;""</f>
        <v/>
      </c>
      <c r="F672" s="46"/>
      <c r="G672" s="47"/>
      <c r="H672" s="47"/>
    </row>
    <row r="673" customFormat="false" ht="12.8" hidden="false" customHeight="false" outlineLevel="0" collapsed="false">
      <c r="A673" s="44" t="n">
        <v>7</v>
      </c>
      <c r="B673" s="44" t="s">
        <v>253</v>
      </c>
      <c r="C673" s="44" t="s">
        <v>158</v>
      </c>
      <c r="D673" s="45" t="str">
        <f aca="true">OFFSET(plates!$B$65,CODE(LEFT(B673,1))-64,-1)&amp;"-"&amp;OFFSET(plates!$B$55,-1,MID(B673,2,3)+0)</f>
        <v>bc264-bc397</v>
      </c>
      <c r="E673" s="46" t="str">
        <f aca="true">OFFSET(plates!$B$65,CODE(LEFT(B673,1))-64,MID(B673,2,3)+0)&amp;""</f>
        <v/>
      </c>
      <c r="F673" s="46"/>
      <c r="G673" s="47"/>
      <c r="H673" s="47"/>
      <c r="I673" s="36"/>
      <c r="J673" s="36"/>
      <c r="K673" s="36"/>
    </row>
    <row r="674" customFormat="false" ht="12.8" hidden="false" customHeight="false" outlineLevel="0" collapsed="false">
      <c r="A674" s="44" t="n">
        <v>8</v>
      </c>
      <c r="B674" s="44" t="s">
        <v>157</v>
      </c>
      <c r="C674" s="44" t="s">
        <v>158</v>
      </c>
      <c r="D674" s="45" t="str">
        <f aca="true">OFFSET(plates!$B$75,CODE(LEFT(B674,1))-64,-1)&amp;"-"&amp;OFFSET(plates!$B$55,-1,MID(B674,2,3)+0)</f>
        <v>bc272-bc247</v>
      </c>
      <c r="E674" s="46" t="str">
        <f aca="true">OFFSET(plates!$B$75,CODE(LEFT(B674,1))-64,MID(B674,2,3)+0)&amp;""</f>
        <v/>
      </c>
      <c r="F674" s="46"/>
      <c r="G674" s="47"/>
      <c r="H674" s="47"/>
    </row>
    <row r="675" customFormat="false" ht="12.8" hidden="false" customHeight="false" outlineLevel="0" collapsed="false">
      <c r="A675" s="44" t="n">
        <v>8</v>
      </c>
      <c r="B675" s="44" t="s">
        <v>159</v>
      </c>
      <c r="C675" s="44" t="s">
        <v>158</v>
      </c>
      <c r="D675" s="45" t="str">
        <f aca="true">OFFSET(plates!$B$75,CODE(LEFT(B675,1))-64,-1)&amp;"-"&amp;OFFSET(plates!$B$55,-1,MID(B675,2,3)+0)</f>
        <v>bc277-bc247</v>
      </c>
      <c r="E675" s="46" t="str">
        <f aca="true">OFFSET(plates!$B$75,CODE(LEFT(B675,1))-64,MID(B675,2,3)+0)&amp;""</f>
        <v/>
      </c>
      <c r="F675" s="46"/>
      <c r="G675" s="47"/>
      <c r="H675" s="47"/>
    </row>
    <row r="676" customFormat="false" ht="12.8" hidden="false" customHeight="false" outlineLevel="0" collapsed="false">
      <c r="A676" s="44" t="n">
        <v>8</v>
      </c>
      <c r="B676" s="44" t="s">
        <v>160</v>
      </c>
      <c r="C676" s="44" t="s">
        <v>158</v>
      </c>
      <c r="D676" s="45" t="str">
        <f aca="true">OFFSET(plates!$B$75,CODE(LEFT(B676,1))-64,-1)&amp;"-"&amp;OFFSET(plates!$B$55,-1,MID(B676,2,3)+0)</f>
        <v>bc282-bc247</v>
      </c>
      <c r="E676" s="46" t="str">
        <f aca="true">OFFSET(plates!$B$75,CODE(LEFT(B676,1))-64,MID(B676,2,3)+0)&amp;""</f>
        <v/>
      </c>
      <c r="F676" s="46"/>
      <c r="G676" s="47"/>
      <c r="H676" s="47"/>
    </row>
    <row r="677" customFormat="false" ht="12.8" hidden="false" customHeight="false" outlineLevel="0" collapsed="false">
      <c r="A677" s="44" t="n">
        <v>8</v>
      </c>
      <c r="B677" s="44" t="s">
        <v>161</v>
      </c>
      <c r="C677" s="44" t="s">
        <v>158</v>
      </c>
      <c r="D677" s="45" t="str">
        <f aca="true">OFFSET(plates!$B$75,CODE(LEFT(B677,1))-64,-1)&amp;"-"&amp;OFFSET(plates!$B$55,-1,MID(B677,2,3)+0)</f>
        <v>bc286-bc247</v>
      </c>
      <c r="E677" s="46" t="str">
        <f aca="true">OFFSET(plates!$B$75,CODE(LEFT(B677,1))-64,MID(B677,2,3)+0)&amp;""</f>
        <v/>
      </c>
      <c r="F677" s="46"/>
      <c r="G677" s="47"/>
      <c r="H677" s="47"/>
    </row>
    <row r="678" customFormat="false" ht="12.8" hidden="false" customHeight="false" outlineLevel="0" collapsed="false">
      <c r="A678" s="44" t="n">
        <v>8</v>
      </c>
      <c r="B678" s="44" t="s">
        <v>162</v>
      </c>
      <c r="C678" s="44" t="s">
        <v>158</v>
      </c>
      <c r="D678" s="45" t="str">
        <f aca="true">OFFSET(plates!$B$75,CODE(LEFT(B678,1))-64,-1)&amp;"-"&amp;OFFSET(plates!$B$55,-1,MID(B678,2,3)+0)</f>
        <v>bc298-bc247</v>
      </c>
      <c r="E678" s="46" t="str">
        <f aca="true">OFFSET(plates!$B$75,CODE(LEFT(B678,1))-64,MID(B678,2,3)+0)&amp;""</f>
        <v/>
      </c>
      <c r="F678" s="46"/>
      <c r="G678" s="47"/>
      <c r="H678" s="47"/>
    </row>
    <row r="679" customFormat="false" ht="12.8" hidden="false" customHeight="false" outlineLevel="0" collapsed="false">
      <c r="A679" s="44" t="n">
        <v>8</v>
      </c>
      <c r="B679" s="44" t="s">
        <v>163</v>
      </c>
      <c r="C679" s="44" t="s">
        <v>158</v>
      </c>
      <c r="D679" s="45" t="str">
        <f aca="true">OFFSET(plates!$B$75,CODE(LEFT(B679,1))-64,-1)&amp;"-"&amp;OFFSET(plates!$B$55,-1,MID(B679,2,3)+0)</f>
        <v>bc314-bc247</v>
      </c>
      <c r="E679" s="46" t="str">
        <f aca="true">OFFSET(plates!$B$75,CODE(LEFT(B679,1))-64,MID(B679,2,3)+0)&amp;""</f>
        <v/>
      </c>
      <c r="F679" s="46"/>
      <c r="G679" s="47"/>
      <c r="H679" s="47"/>
    </row>
    <row r="680" customFormat="false" ht="12.8" hidden="false" customHeight="false" outlineLevel="0" collapsed="false">
      <c r="A680" s="44" t="n">
        <v>8</v>
      </c>
      <c r="B680" s="44" t="s">
        <v>164</v>
      </c>
      <c r="C680" s="44" t="s">
        <v>158</v>
      </c>
      <c r="D680" s="45" t="str">
        <f aca="true">OFFSET(plates!$B$75,CODE(LEFT(B680,1))-64,-1)&amp;"-"&amp;OFFSET(plates!$B$55,-1,MID(B680,2,3)+0)</f>
        <v>bc321-bc247</v>
      </c>
      <c r="E680" s="46" t="str">
        <f aca="true">OFFSET(plates!$B$75,CODE(LEFT(B680,1))-64,MID(B680,2,3)+0)&amp;""</f>
        <v/>
      </c>
      <c r="F680" s="46"/>
      <c r="G680" s="47"/>
      <c r="H680" s="47"/>
    </row>
    <row r="681" customFormat="false" ht="12.8" hidden="false" customHeight="false" outlineLevel="0" collapsed="false">
      <c r="A681" s="44" t="n">
        <v>8</v>
      </c>
      <c r="B681" s="44" t="s">
        <v>165</v>
      </c>
      <c r="C681" s="44" t="s">
        <v>158</v>
      </c>
      <c r="D681" s="45" t="str">
        <f aca="true">OFFSET(plates!$B$75,CODE(LEFT(B681,1))-64,-1)&amp;"-"&amp;OFFSET(plates!$B$55,-1,MID(B681,2,3)+0)</f>
        <v>bc324-bc247</v>
      </c>
      <c r="E681" s="46" t="str">
        <f aca="true">OFFSET(plates!$B$75,CODE(LEFT(B681,1))-64,MID(B681,2,3)+0)&amp;""</f>
        <v/>
      </c>
      <c r="F681" s="46"/>
      <c r="G681" s="47"/>
      <c r="H681" s="47"/>
    </row>
    <row r="682" customFormat="false" ht="12.8" hidden="false" customHeight="false" outlineLevel="0" collapsed="false">
      <c r="A682" s="44" t="n">
        <v>8</v>
      </c>
      <c r="B682" s="44" t="s">
        <v>166</v>
      </c>
      <c r="C682" s="44" t="s">
        <v>158</v>
      </c>
      <c r="D682" s="45" t="str">
        <f aca="true">OFFSET(plates!$B$75,CODE(LEFT(B682,1))-64,-1)&amp;"-"&amp;OFFSET(plates!$B$55,-1,MID(B682,2,3)+0)</f>
        <v>bc272-bc286</v>
      </c>
      <c r="E682" s="46" t="str">
        <f aca="true">OFFSET(plates!$B$75,CODE(LEFT(B682,1))-64,MID(B682,2,3)+0)&amp;""</f>
        <v/>
      </c>
      <c r="F682" s="46"/>
      <c r="G682" s="47"/>
      <c r="H682" s="47"/>
    </row>
    <row r="683" customFormat="false" ht="12.8" hidden="false" customHeight="false" outlineLevel="0" collapsed="false">
      <c r="A683" s="44" t="n">
        <v>8</v>
      </c>
      <c r="B683" s="44" t="s">
        <v>167</v>
      </c>
      <c r="C683" s="44" t="s">
        <v>158</v>
      </c>
      <c r="D683" s="45" t="str">
        <f aca="true">OFFSET(plates!$B$75,CODE(LEFT(B683,1))-64,-1)&amp;"-"&amp;OFFSET(plates!$B$55,-1,MID(B683,2,3)+0)</f>
        <v>bc277-bc286</v>
      </c>
      <c r="E683" s="46" t="str">
        <f aca="true">OFFSET(plates!$B$75,CODE(LEFT(B683,1))-64,MID(B683,2,3)+0)&amp;""</f>
        <v/>
      </c>
      <c r="F683" s="46"/>
      <c r="G683" s="47"/>
      <c r="H683" s="47"/>
    </row>
    <row r="684" customFormat="false" ht="12.8" hidden="false" customHeight="false" outlineLevel="0" collapsed="false">
      <c r="A684" s="44" t="n">
        <v>8</v>
      </c>
      <c r="B684" s="44" t="s">
        <v>168</v>
      </c>
      <c r="C684" s="44" t="s">
        <v>158</v>
      </c>
      <c r="D684" s="45" t="str">
        <f aca="true">OFFSET(plates!$B$75,CODE(LEFT(B684,1))-64,-1)&amp;"-"&amp;OFFSET(plates!$B$55,-1,MID(B684,2,3)+0)</f>
        <v>bc282-bc286</v>
      </c>
      <c r="E684" s="46" t="str">
        <f aca="true">OFFSET(plates!$B$75,CODE(LEFT(B684,1))-64,MID(B684,2,3)+0)&amp;""</f>
        <v/>
      </c>
      <c r="F684" s="46"/>
      <c r="G684" s="47"/>
      <c r="H684" s="47"/>
    </row>
    <row r="685" customFormat="false" ht="12.8" hidden="false" customHeight="false" outlineLevel="0" collapsed="false">
      <c r="A685" s="44" t="n">
        <v>8</v>
      </c>
      <c r="B685" s="44" t="s">
        <v>169</v>
      </c>
      <c r="C685" s="44" t="s">
        <v>158</v>
      </c>
      <c r="D685" s="45" t="str">
        <f aca="true">OFFSET(plates!$B$75,CODE(LEFT(B685,1))-64,-1)&amp;"-"&amp;OFFSET(plates!$B$55,-1,MID(B685,2,3)+0)</f>
        <v>bc286-bc286</v>
      </c>
      <c r="E685" s="46" t="str">
        <f aca="true">OFFSET(plates!$B$75,CODE(LEFT(B685,1))-64,MID(B685,2,3)+0)&amp;""</f>
        <v/>
      </c>
      <c r="F685" s="46"/>
      <c r="G685" s="47"/>
      <c r="H685" s="47"/>
    </row>
    <row r="686" customFormat="false" ht="12.8" hidden="false" customHeight="false" outlineLevel="0" collapsed="false">
      <c r="A686" s="44" t="n">
        <v>8</v>
      </c>
      <c r="B686" s="44" t="s">
        <v>170</v>
      </c>
      <c r="C686" s="44" t="s">
        <v>158</v>
      </c>
      <c r="D686" s="45" t="str">
        <f aca="true">OFFSET(plates!$B$75,CODE(LEFT(B686,1))-64,-1)&amp;"-"&amp;OFFSET(plates!$B$55,-1,MID(B686,2,3)+0)</f>
        <v>bc298-bc286</v>
      </c>
      <c r="E686" s="46" t="str">
        <f aca="true">OFFSET(plates!$B$75,CODE(LEFT(B686,1))-64,MID(B686,2,3)+0)&amp;""</f>
        <v/>
      </c>
      <c r="F686" s="46"/>
      <c r="G686" s="47"/>
      <c r="H686" s="47"/>
    </row>
    <row r="687" customFormat="false" ht="12.8" hidden="false" customHeight="false" outlineLevel="0" collapsed="false">
      <c r="A687" s="44" t="n">
        <v>8</v>
      </c>
      <c r="B687" s="44" t="s">
        <v>171</v>
      </c>
      <c r="C687" s="44" t="s">
        <v>158</v>
      </c>
      <c r="D687" s="45" t="str">
        <f aca="true">OFFSET(plates!$B$75,CODE(LEFT(B687,1))-64,-1)&amp;"-"&amp;OFFSET(plates!$B$55,-1,MID(B687,2,3)+0)</f>
        <v>bc314-bc286</v>
      </c>
      <c r="E687" s="46" t="str">
        <f aca="true">OFFSET(plates!$B$75,CODE(LEFT(B687,1))-64,MID(B687,2,3)+0)&amp;""</f>
        <v/>
      </c>
      <c r="F687" s="46"/>
      <c r="G687" s="47"/>
      <c r="H687" s="47"/>
    </row>
    <row r="688" customFormat="false" ht="12.8" hidden="false" customHeight="false" outlineLevel="0" collapsed="false">
      <c r="A688" s="44" t="n">
        <v>8</v>
      </c>
      <c r="B688" s="44" t="s">
        <v>172</v>
      </c>
      <c r="C688" s="44" t="s">
        <v>158</v>
      </c>
      <c r="D688" s="45" t="str">
        <f aca="true">OFFSET(plates!$B$75,CODE(LEFT(B688,1))-64,-1)&amp;"-"&amp;OFFSET(plates!$B$55,-1,MID(B688,2,3)+0)</f>
        <v>bc321-bc286</v>
      </c>
      <c r="E688" s="46" t="str">
        <f aca="true">OFFSET(plates!$B$75,CODE(LEFT(B688,1))-64,MID(B688,2,3)+0)&amp;""</f>
        <v/>
      </c>
      <c r="F688" s="46"/>
      <c r="G688" s="47"/>
      <c r="H688" s="47"/>
    </row>
    <row r="689" customFormat="false" ht="12.8" hidden="false" customHeight="false" outlineLevel="0" collapsed="false">
      <c r="A689" s="44" t="n">
        <v>8</v>
      </c>
      <c r="B689" s="44" t="s">
        <v>173</v>
      </c>
      <c r="C689" s="44" t="s">
        <v>158</v>
      </c>
      <c r="D689" s="45" t="str">
        <f aca="true">OFFSET(plates!$B$75,CODE(LEFT(B689,1))-64,-1)&amp;"-"&amp;OFFSET(plates!$B$55,-1,MID(B689,2,3)+0)</f>
        <v>bc324-bc286</v>
      </c>
      <c r="E689" s="46" t="str">
        <f aca="true">OFFSET(plates!$B$75,CODE(LEFT(B689,1))-64,MID(B689,2,3)+0)&amp;""</f>
        <v/>
      </c>
      <c r="F689" s="46"/>
      <c r="G689" s="47"/>
      <c r="H689" s="47"/>
    </row>
    <row r="690" customFormat="false" ht="12.8" hidden="false" customHeight="false" outlineLevel="0" collapsed="false">
      <c r="A690" s="44" t="n">
        <v>8</v>
      </c>
      <c r="B690" s="44" t="s">
        <v>174</v>
      </c>
      <c r="C690" s="44" t="s">
        <v>158</v>
      </c>
      <c r="D690" s="45" t="str">
        <f aca="true">OFFSET(plates!$B$75,CODE(LEFT(B690,1))-64,-1)&amp;"-"&amp;OFFSET(plates!$B$55,-1,MID(B690,2,3)+0)</f>
        <v>bc272-bc298</v>
      </c>
      <c r="E690" s="46" t="str">
        <f aca="true">OFFSET(plates!$B$75,CODE(LEFT(B690,1))-64,MID(B690,2,3)+0)&amp;""</f>
        <v/>
      </c>
      <c r="F690" s="46"/>
      <c r="G690" s="47"/>
      <c r="H690" s="47"/>
    </row>
    <row r="691" customFormat="false" ht="12.8" hidden="false" customHeight="false" outlineLevel="0" collapsed="false">
      <c r="A691" s="44" t="n">
        <v>8</v>
      </c>
      <c r="B691" s="44" t="s">
        <v>175</v>
      </c>
      <c r="C691" s="44" t="s">
        <v>158</v>
      </c>
      <c r="D691" s="45" t="str">
        <f aca="true">OFFSET(plates!$B$75,CODE(LEFT(B691,1))-64,-1)&amp;"-"&amp;OFFSET(plates!$B$55,-1,MID(B691,2,3)+0)</f>
        <v>bc277-bc298</v>
      </c>
      <c r="E691" s="46" t="str">
        <f aca="true">OFFSET(plates!$B$75,CODE(LEFT(B691,1))-64,MID(B691,2,3)+0)&amp;""</f>
        <v/>
      </c>
      <c r="F691" s="46"/>
      <c r="G691" s="47"/>
      <c r="H691" s="47"/>
    </row>
    <row r="692" customFormat="false" ht="12.8" hidden="false" customHeight="false" outlineLevel="0" collapsed="false">
      <c r="A692" s="44" t="n">
        <v>8</v>
      </c>
      <c r="B692" s="44" t="s">
        <v>176</v>
      </c>
      <c r="C692" s="44" t="s">
        <v>158</v>
      </c>
      <c r="D692" s="45" t="str">
        <f aca="true">OFFSET(plates!$B$75,CODE(LEFT(B692,1))-64,-1)&amp;"-"&amp;OFFSET(plates!$B$55,-1,MID(B692,2,3)+0)</f>
        <v>bc282-bc298</v>
      </c>
      <c r="E692" s="46" t="str">
        <f aca="true">OFFSET(plates!$B$75,CODE(LEFT(B692,1))-64,MID(B692,2,3)+0)&amp;""</f>
        <v/>
      </c>
      <c r="F692" s="46"/>
      <c r="G692" s="47"/>
      <c r="H692" s="47"/>
    </row>
    <row r="693" customFormat="false" ht="12.8" hidden="false" customHeight="false" outlineLevel="0" collapsed="false">
      <c r="A693" s="44" t="n">
        <v>8</v>
      </c>
      <c r="B693" s="44" t="s">
        <v>177</v>
      </c>
      <c r="C693" s="44" t="s">
        <v>158</v>
      </c>
      <c r="D693" s="45" t="str">
        <f aca="true">OFFSET(plates!$B$75,CODE(LEFT(B693,1))-64,-1)&amp;"-"&amp;OFFSET(plates!$B$55,-1,MID(B693,2,3)+0)</f>
        <v>bc286-bc298</v>
      </c>
      <c r="E693" s="46" t="str">
        <f aca="true">OFFSET(plates!$B$75,CODE(LEFT(B693,1))-64,MID(B693,2,3)+0)&amp;""</f>
        <v/>
      </c>
      <c r="F693" s="46"/>
      <c r="G693" s="47"/>
      <c r="H693" s="47"/>
    </row>
    <row r="694" customFormat="false" ht="12.8" hidden="false" customHeight="false" outlineLevel="0" collapsed="false">
      <c r="A694" s="44" t="n">
        <v>8</v>
      </c>
      <c r="B694" s="44" t="s">
        <v>178</v>
      </c>
      <c r="C694" s="44" t="s">
        <v>158</v>
      </c>
      <c r="D694" s="45" t="str">
        <f aca="true">OFFSET(plates!$B$75,CODE(LEFT(B694,1))-64,-1)&amp;"-"&amp;OFFSET(plates!$B$55,-1,MID(B694,2,3)+0)</f>
        <v>bc298-bc298</v>
      </c>
      <c r="E694" s="46" t="str">
        <f aca="true">OFFSET(plates!$B$75,CODE(LEFT(B694,1))-64,MID(B694,2,3)+0)&amp;""</f>
        <v/>
      </c>
      <c r="F694" s="46"/>
      <c r="G694" s="47"/>
      <c r="H694" s="47"/>
    </row>
    <row r="695" customFormat="false" ht="12.8" hidden="false" customHeight="false" outlineLevel="0" collapsed="false">
      <c r="A695" s="44" t="n">
        <v>8</v>
      </c>
      <c r="B695" s="44" t="s">
        <v>179</v>
      </c>
      <c r="C695" s="44" t="s">
        <v>158</v>
      </c>
      <c r="D695" s="45" t="str">
        <f aca="true">OFFSET(plates!$B$75,CODE(LEFT(B695,1))-64,-1)&amp;"-"&amp;OFFSET(plates!$B$55,-1,MID(B695,2,3)+0)</f>
        <v>bc314-bc298</v>
      </c>
      <c r="E695" s="46" t="str">
        <f aca="true">OFFSET(plates!$B$75,CODE(LEFT(B695,1))-64,MID(B695,2,3)+0)&amp;""</f>
        <v/>
      </c>
      <c r="F695" s="46"/>
      <c r="G695" s="47"/>
      <c r="H695" s="47"/>
    </row>
    <row r="696" customFormat="false" ht="12.8" hidden="false" customHeight="false" outlineLevel="0" collapsed="false">
      <c r="A696" s="44" t="n">
        <v>8</v>
      </c>
      <c r="B696" s="44" t="s">
        <v>180</v>
      </c>
      <c r="C696" s="44" t="s">
        <v>158</v>
      </c>
      <c r="D696" s="45" t="str">
        <f aca="true">OFFSET(plates!$B$75,CODE(LEFT(B696,1))-64,-1)&amp;"-"&amp;OFFSET(plates!$B$55,-1,MID(B696,2,3)+0)</f>
        <v>bc321-bc298</v>
      </c>
      <c r="E696" s="46" t="str">
        <f aca="true">OFFSET(plates!$B$75,CODE(LEFT(B696,1))-64,MID(B696,2,3)+0)&amp;""</f>
        <v/>
      </c>
      <c r="F696" s="46"/>
      <c r="G696" s="47"/>
      <c r="H696" s="47"/>
    </row>
    <row r="697" customFormat="false" ht="12.8" hidden="false" customHeight="false" outlineLevel="0" collapsed="false">
      <c r="A697" s="44" t="n">
        <v>8</v>
      </c>
      <c r="B697" s="44" t="s">
        <v>181</v>
      </c>
      <c r="C697" s="44" t="s">
        <v>158</v>
      </c>
      <c r="D697" s="45" t="str">
        <f aca="true">OFFSET(plates!$B$75,CODE(LEFT(B697,1))-64,-1)&amp;"-"&amp;OFFSET(plates!$B$55,-1,MID(B697,2,3)+0)</f>
        <v>bc324-bc298</v>
      </c>
      <c r="E697" s="46" t="str">
        <f aca="true">OFFSET(plates!$B$75,CODE(LEFT(B697,1))-64,MID(B697,2,3)+0)&amp;""</f>
        <v/>
      </c>
      <c r="F697" s="46"/>
      <c r="G697" s="47"/>
      <c r="H697" s="47"/>
    </row>
    <row r="698" customFormat="false" ht="12.8" hidden="false" customHeight="false" outlineLevel="0" collapsed="false">
      <c r="A698" s="44" t="n">
        <v>8</v>
      </c>
      <c r="B698" s="44" t="s">
        <v>182</v>
      </c>
      <c r="C698" s="44" t="s">
        <v>158</v>
      </c>
      <c r="D698" s="45" t="str">
        <f aca="true">OFFSET(plates!$B$75,CODE(LEFT(B698,1))-64,-1)&amp;"-"&amp;OFFSET(plates!$B$55,-1,MID(B698,2,3)+0)</f>
        <v>bc272-bc310</v>
      </c>
      <c r="E698" s="46" t="str">
        <f aca="true">OFFSET(plates!$B$75,CODE(LEFT(B698,1))-64,MID(B698,2,3)+0)&amp;""</f>
        <v/>
      </c>
      <c r="F698" s="46"/>
      <c r="G698" s="47"/>
      <c r="H698" s="47"/>
    </row>
    <row r="699" customFormat="false" ht="12.8" hidden="false" customHeight="false" outlineLevel="0" collapsed="false">
      <c r="A699" s="44" t="n">
        <v>8</v>
      </c>
      <c r="B699" s="44" t="s">
        <v>183</v>
      </c>
      <c r="C699" s="44" t="s">
        <v>158</v>
      </c>
      <c r="D699" s="45" t="str">
        <f aca="true">OFFSET(plates!$B$75,CODE(LEFT(B699,1))-64,-1)&amp;"-"&amp;OFFSET(plates!$B$55,-1,MID(B699,2,3)+0)</f>
        <v>bc277-bc310</v>
      </c>
      <c r="E699" s="46" t="str">
        <f aca="true">OFFSET(plates!$B$75,CODE(LEFT(B699,1))-64,MID(B699,2,3)+0)&amp;""</f>
        <v/>
      </c>
      <c r="F699" s="46"/>
      <c r="G699" s="47"/>
      <c r="H699" s="47"/>
    </row>
    <row r="700" customFormat="false" ht="12.8" hidden="false" customHeight="false" outlineLevel="0" collapsed="false">
      <c r="A700" s="44" t="n">
        <v>8</v>
      </c>
      <c r="B700" s="44" t="s">
        <v>184</v>
      </c>
      <c r="C700" s="44" t="s">
        <v>158</v>
      </c>
      <c r="D700" s="45" t="str">
        <f aca="true">OFFSET(plates!$B$75,CODE(LEFT(B700,1))-64,-1)&amp;"-"&amp;OFFSET(plates!$B$55,-1,MID(B700,2,3)+0)</f>
        <v>bc282-bc310</v>
      </c>
      <c r="E700" s="46" t="str">
        <f aca="true">OFFSET(plates!$B$75,CODE(LEFT(B700,1))-64,MID(B700,2,3)+0)&amp;""</f>
        <v/>
      </c>
      <c r="F700" s="46"/>
      <c r="G700" s="47"/>
      <c r="H700" s="47"/>
    </row>
    <row r="701" customFormat="false" ht="12.8" hidden="false" customHeight="false" outlineLevel="0" collapsed="false">
      <c r="A701" s="44" t="n">
        <v>8</v>
      </c>
      <c r="B701" s="44" t="s">
        <v>185</v>
      </c>
      <c r="C701" s="44" t="s">
        <v>158</v>
      </c>
      <c r="D701" s="45" t="str">
        <f aca="true">OFFSET(plates!$B$75,CODE(LEFT(B701,1))-64,-1)&amp;"-"&amp;OFFSET(plates!$B$55,-1,MID(B701,2,3)+0)</f>
        <v>bc286-bc310</v>
      </c>
      <c r="E701" s="46" t="str">
        <f aca="true">OFFSET(plates!$B$75,CODE(LEFT(B701,1))-64,MID(B701,2,3)+0)&amp;""</f>
        <v/>
      </c>
      <c r="F701" s="46"/>
      <c r="G701" s="47"/>
      <c r="H701" s="47"/>
    </row>
    <row r="702" customFormat="false" ht="12.8" hidden="false" customHeight="false" outlineLevel="0" collapsed="false">
      <c r="A702" s="44" t="n">
        <v>8</v>
      </c>
      <c r="B702" s="44" t="s">
        <v>186</v>
      </c>
      <c r="C702" s="44" t="s">
        <v>158</v>
      </c>
      <c r="D702" s="45" t="str">
        <f aca="true">OFFSET(plates!$B$75,CODE(LEFT(B702,1))-64,-1)&amp;"-"&amp;OFFSET(plates!$B$55,-1,MID(B702,2,3)+0)</f>
        <v>bc298-bc310</v>
      </c>
      <c r="E702" s="46" t="str">
        <f aca="true">OFFSET(plates!$B$75,CODE(LEFT(B702,1))-64,MID(B702,2,3)+0)&amp;""</f>
        <v/>
      </c>
      <c r="F702" s="46"/>
      <c r="G702" s="47"/>
      <c r="H702" s="47"/>
    </row>
    <row r="703" customFormat="false" ht="12.8" hidden="false" customHeight="false" outlineLevel="0" collapsed="false">
      <c r="A703" s="44" t="n">
        <v>8</v>
      </c>
      <c r="B703" s="44" t="s">
        <v>187</v>
      </c>
      <c r="C703" s="44" t="s">
        <v>158</v>
      </c>
      <c r="D703" s="45" t="str">
        <f aca="true">OFFSET(plates!$B$75,CODE(LEFT(B703,1))-64,-1)&amp;"-"&amp;OFFSET(plates!$B$55,-1,MID(B703,2,3)+0)</f>
        <v>bc314-bc310</v>
      </c>
      <c r="E703" s="46" t="str">
        <f aca="true">OFFSET(plates!$B$75,CODE(LEFT(B703,1))-64,MID(B703,2,3)+0)&amp;""</f>
        <v/>
      </c>
      <c r="F703" s="46"/>
      <c r="G703" s="47"/>
      <c r="H703" s="47"/>
    </row>
    <row r="704" customFormat="false" ht="12.8" hidden="false" customHeight="false" outlineLevel="0" collapsed="false">
      <c r="A704" s="44" t="n">
        <v>8</v>
      </c>
      <c r="B704" s="44" t="s">
        <v>188</v>
      </c>
      <c r="C704" s="44" t="s">
        <v>158</v>
      </c>
      <c r="D704" s="45" t="str">
        <f aca="true">OFFSET(plates!$B$75,CODE(LEFT(B704,1))-64,-1)&amp;"-"&amp;OFFSET(plates!$B$55,-1,MID(B704,2,3)+0)</f>
        <v>bc321-bc310</v>
      </c>
      <c r="E704" s="46" t="str">
        <f aca="true">OFFSET(plates!$B$75,CODE(LEFT(B704,1))-64,MID(B704,2,3)+0)&amp;""</f>
        <v/>
      </c>
      <c r="F704" s="46"/>
      <c r="G704" s="47"/>
      <c r="H704" s="47"/>
    </row>
    <row r="705" customFormat="false" ht="12.8" hidden="false" customHeight="false" outlineLevel="0" collapsed="false">
      <c r="A705" s="44" t="n">
        <v>8</v>
      </c>
      <c r="B705" s="44" t="s">
        <v>189</v>
      </c>
      <c r="C705" s="44" t="s">
        <v>158</v>
      </c>
      <c r="D705" s="45" t="str">
        <f aca="true">OFFSET(plates!$B$75,CODE(LEFT(B705,1))-64,-1)&amp;"-"&amp;OFFSET(plates!$B$55,-1,MID(B705,2,3)+0)</f>
        <v>bc324-bc310</v>
      </c>
      <c r="E705" s="46" t="str">
        <f aca="true">OFFSET(plates!$B$75,CODE(LEFT(B705,1))-64,MID(B705,2,3)+0)&amp;""</f>
        <v/>
      </c>
      <c r="F705" s="46"/>
      <c r="G705" s="47"/>
      <c r="H705" s="47"/>
    </row>
    <row r="706" customFormat="false" ht="12.8" hidden="false" customHeight="false" outlineLevel="0" collapsed="false">
      <c r="A706" s="44" t="n">
        <v>8</v>
      </c>
      <c r="B706" s="44" t="s">
        <v>190</v>
      </c>
      <c r="C706" s="44" t="s">
        <v>158</v>
      </c>
      <c r="D706" s="45" t="str">
        <f aca="true">OFFSET(plates!$B$75,CODE(LEFT(B706,1))-64,-1)&amp;"-"&amp;OFFSET(plates!$B$55,-1,MID(B706,2,3)+0)</f>
        <v>bc272-bc314</v>
      </c>
      <c r="E706" s="46" t="str">
        <f aca="true">OFFSET(plates!$B$75,CODE(LEFT(B706,1))-64,MID(B706,2,3)+0)&amp;""</f>
        <v/>
      </c>
      <c r="F706" s="46"/>
      <c r="G706" s="47"/>
      <c r="H706" s="47"/>
    </row>
    <row r="707" customFormat="false" ht="12.8" hidden="false" customHeight="false" outlineLevel="0" collapsed="false">
      <c r="A707" s="44" t="n">
        <v>8</v>
      </c>
      <c r="B707" s="44" t="s">
        <v>191</v>
      </c>
      <c r="C707" s="44" t="s">
        <v>158</v>
      </c>
      <c r="D707" s="45" t="str">
        <f aca="true">OFFSET(plates!$B$75,CODE(LEFT(B707,1))-64,-1)&amp;"-"&amp;OFFSET(plates!$B$55,-1,MID(B707,2,3)+0)</f>
        <v>bc277-bc314</v>
      </c>
      <c r="E707" s="46" t="str">
        <f aca="true">OFFSET(plates!$B$75,CODE(LEFT(B707,1))-64,MID(B707,2,3)+0)&amp;""</f>
        <v/>
      </c>
      <c r="F707" s="46"/>
      <c r="G707" s="47"/>
      <c r="H707" s="47"/>
    </row>
    <row r="708" customFormat="false" ht="12.8" hidden="false" customHeight="false" outlineLevel="0" collapsed="false">
      <c r="A708" s="44" t="n">
        <v>8</v>
      </c>
      <c r="B708" s="44" t="s">
        <v>192</v>
      </c>
      <c r="C708" s="44" t="s">
        <v>158</v>
      </c>
      <c r="D708" s="45" t="str">
        <f aca="true">OFFSET(plates!$B$75,CODE(LEFT(B708,1))-64,-1)&amp;"-"&amp;OFFSET(plates!$B$55,-1,MID(B708,2,3)+0)</f>
        <v>bc282-bc314</v>
      </c>
      <c r="E708" s="46" t="str">
        <f aca="true">OFFSET(plates!$B$75,CODE(LEFT(B708,1))-64,MID(B708,2,3)+0)&amp;""</f>
        <v/>
      </c>
      <c r="F708" s="46"/>
      <c r="G708" s="47"/>
      <c r="H708" s="47"/>
    </row>
    <row r="709" customFormat="false" ht="12.8" hidden="false" customHeight="false" outlineLevel="0" collapsed="false">
      <c r="A709" s="44" t="n">
        <v>8</v>
      </c>
      <c r="B709" s="44" t="s">
        <v>193</v>
      </c>
      <c r="C709" s="44" t="s">
        <v>158</v>
      </c>
      <c r="D709" s="45" t="str">
        <f aca="true">OFFSET(plates!$B$75,CODE(LEFT(B709,1))-64,-1)&amp;"-"&amp;OFFSET(plates!$B$55,-1,MID(B709,2,3)+0)</f>
        <v>bc286-bc314</v>
      </c>
      <c r="E709" s="46" t="str">
        <f aca="true">OFFSET(plates!$B$75,CODE(LEFT(B709,1))-64,MID(B709,2,3)+0)&amp;""</f>
        <v/>
      </c>
      <c r="F709" s="46"/>
      <c r="G709" s="47"/>
      <c r="H709" s="47"/>
    </row>
    <row r="710" customFormat="false" ht="12.8" hidden="false" customHeight="false" outlineLevel="0" collapsed="false">
      <c r="A710" s="44" t="n">
        <v>8</v>
      </c>
      <c r="B710" s="44" t="s">
        <v>194</v>
      </c>
      <c r="C710" s="44" t="s">
        <v>158</v>
      </c>
      <c r="D710" s="45" t="str">
        <f aca="true">OFFSET(plates!$B$75,CODE(LEFT(B710,1))-64,-1)&amp;"-"&amp;OFFSET(plates!$B$55,-1,MID(B710,2,3)+0)</f>
        <v>bc298-bc314</v>
      </c>
      <c r="E710" s="46" t="str">
        <f aca="true">OFFSET(plates!$B$75,CODE(LEFT(B710,1))-64,MID(B710,2,3)+0)&amp;""</f>
        <v/>
      </c>
      <c r="F710" s="46"/>
      <c r="G710" s="47"/>
      <c r="H710" s="47"/>
    </row>
    <row r="711" customFormat="false" ht="12.8" hidden="false" customHeight="false" outlineLevel="0" collapsed="false">
      <c r="A711" s="44" t="n">
        <v>8</v>
      </c>
      <c r="B711" s="44" t="s">
        <v>195</v>
      </c>
      <c r="C711" s="44" t="s">
        <v>158</v>
      </c>
      <c r="D711" s="45" t="str">
        <f aca="true">OFFSET(plates!$B$75,CODE(LEFT(B711,1))-64,-1)&amp;"-"&amp;OFFSET(plates!$B$55,-1,MID(B711,2,3)+0)</f>
        <v>bc314-bc314</v>
      </c>
      <c r="E711" s="46" t="str">
        <f aca="true">OFFSET(plates!$B$75,CODE(LEFT(B711,1))-64,MID(B711,2,3)+0)&amp;""</f>
        <v/>
      </c>
      <c r="F711" s="46"/>
      <c r="G711" s="47"/>
      <c r="H711" s="47"/>
    </row>
    <row r="712" customFormat="false" ht="12.8" hidden="false" customHeight="false" outlineLevel="0" collapsed="false">
      <c r="A712" s="44" t="n">
        <v>8</v>
      </c>
      <c r="B712" s="44" t="s">
        <v>196</v>
      </c>
      <c r="C712" s="44" t="s">
        <v>158</v>
      </c>
      <c r="D712" s="45" t="str">
        <f aca="true">OFFSET(plates!$B$75,CODE(LEFT(B712,1))-64,-1)&amp;"-"&amp;OFFSET(plates!$B$55,-1,MID(B712,2,3)+0)</f>
        <v>bc321-bc314</v>
      </c>
      <c r="E712" s="46" t="str">
        <f aca="true">OFFSET(plates!$B$75,CODE(LEFT(B712,1))-64,MID(B712,2,3)+0)&amp;""</f>
        <v/>
      </c>
      <c r="F712" s="46"/>
      <c r="G712" s="47"/>
      <c r="H712" s="47"/>
    </row>
    <row r="713" customFormat="false" ht="12.8" hidden="false" customHeight="false" outlineLevel="0" collapsed="false">
      <c r="A713" s="44" t="n">
        <v>8</v>
      </c>
      <c r="B713" s="44" t="s">
        <v>197</v>
      </c>
      <c r="C713" s="44" t="s">
        <v>158</v>
      </c>
      <c r="D713" s="45" t="str">
        <f aca="true">OFFSET(plates!$B$75,CODE(LEFT(B713,1))-64,-1)&amp;"-"&amp;OFFSET(plates!$B$55,-1,MID(B713,2,3)+0)</f>
        <v>bc324-bc314</v>
      </c>
      <c r="E713" s="46" t="str">
        <f aca="true">OFFSET(plates!$B$75,CODE(LEFT(B713,1))-64,MID(B713,2,3)+0)&amp;""</f>
        <v/>
      </c>
      <c r="F713" s="46"/>
      <c r="G713" s="47"/>
      <c r="H713" s="47"/>
    </row>
    <row r="714" customFormat="false" ht="12.8" hidden="false" customHeight="false" outlineLevel="0" collapsed="false">
      <c r="A714" s="44" t="n">
        <v>8</v>
      </c>
      <c r="B714" s="44" t="s">
        <v>198</v>
      </c>
      <c r="C714" s="44" t="s">
        <v>158</v>
      </c>
      <c r="D714" s="45" t="str">
        <f aca="true">OFFSET(plates!$B$75,CODE(LEFT(B714,1))-64,-1)&amp;"-"&amp;OFFSET(plates!$B$55,-1,MID(B714,2,3)+0)</f>
        <v>bc272-bc336</v>
      </c>
      <c r="E714" s="46" t="str">
        <f aca="true">OFFSET(plates!$B$75,CODE(LEFT(B714,1))-64,MID(B714,2,3)+0)&amp;""</f>
        <v/>
      </c>
      <c r="F714" s="46"/>
      <c r="G714" s="47"/>
      <c r="H714" s="47"/>
    </row>
    <row r="715" customFormat="false" ht="12.8" hidden="false" customHeight="false" outlineLevel="0" collapsed="false">
      <c r="A715" s="44" t="n">
        <v>8</v>
      </c>
      <c r="B715" s="44" t="s">
        <v>199</v>
      </c>
      <c r="C715" s="44" t="s">
        <v>158</v>
      </c>
      <c r="D715" s="45" t="str">
        <f aca="true">OFFSET(plates!$B$75,CODE(LEFT(B715,1))-64,-1)&amp;"-"&amp;OFFSET(plates!$B$55,-1,MID(B715,2,3)+0)</f>
        <v>bc277-bc336</v>
      </c>
      <c r="E715" s="46" t="str">
        <f aca="true">OFFSET(plates!$B$75,CODE(LEFT(B715,1))-64,MID(B715,2,3)+0)&amp;""</f>
        <v/>
      </c>
      <c r="F715" s="46"/>
      <c r="G715" s="47"/>
      <c r="H715" s="47"/>
    </row>
    <row r="716" customFormat="false" ht="12.8" hidden="false" customHeight="false" outlineLevel="0" collapsed="false">
      <c r="A716" s="44" t="n">
        <v>8</v>
      </c>
      <c r="B716" s="44" t="s">
        <v>200</v>
      </c>
      <c r="C716" s="44" t="s">
        <v>158</v>
      </c>
      <c r="D716" s="45" t="str">
        <f aca="true">OFFSET(plates!$B$75,CODE(LEFT(B716,1))-64,-1)&amp;"-"&amp;OFFSET(plates!$B$55,-1,MID(B716,2,3)+0)</f>
        <v>bc282-bc336</v>
      </c>
      <c r="E716" s="46" t="str">
        <f aca="true">OFFSET(plates!$B$75,CODE(LEFT(B716,1))-64,MID(B716,2,3)+0)&amp;""</f>
        <v/>
      </c>
      <c r="F716" s="46"/>
      <c r="G716" s="47"/>
      <c r="H716" s="47"/>
    </row>
    <row r="717" customFormat="false" ht="12.8" hidden="false" customHeight="false" outlineLevel="0" collapsed="false">
      <c r="A717" s="44" t="n">
        <v>8</v>
      </c>
      <c r="B717" s="44" t="s">
        <v>201</v>
      </c>
      <c r="C717" s="44" t="s">
        <v>158</v>
      </c>
      <c r="D717" s="45" t="str">
        <f aca="true">OFFSET(plates!$B$75,CODE(LEFT(B717,1))-64,-1)&amp;"-"&amp;OFFSET(plates!$B$55,-1,MID(B717,2,3)+0)</f>
        <v>bc286-bc336</v>
      </c>
      <c r="E717" s="46" t="str">
        <f aca="true">OFFSET(plates!$B$75,CODE(LEFT(B717,1))-64,MID(B717,2,3)+0)&amp;""</f>
        <v/>
      </c>
      <c r="F717" s="46"/>
      <c r="G717" s="47"/>
      <c r="H717" s="47"/>
    </row>
    <row r="718" customFormat="false" ht="12.8" hidden="false" customHeight="false" outlineLevel="0" collapsed="false">
      <c r="A718" s="44" t="n">
        <v>8</v>
      </c>
      <c r="B718" s="44" t="s">
        <v>202</v>
      </c>
      <c r="C718" s="44" t="s">
        <v>158</v>
      </c>
      <c r="D718" s="45" t="str">
        <f aca="true">OFFSET(plates!$B$75,CODE(LEFT(B718,1))-64,-1)&amp;"-"&amp;OFFSET(plates!$B$55,-1,MID(B718,2,3)+0)</f>
        <v>bc298-bc336</v>
      </c>
      <c r="E718" s="46" t="str">
        <f aca="true">OFFSET(plates!$B$75,CODE(LEFT(B718,1))-64,MID(B718,2,3)+0)&amp;""</f>
        <v/>
      </c>
      <c r="F718" s="46"/>
      <c r="G718" s="47"/>
      <c r="H718" s="47"/>
    </row>
    <row r="719" customFormat="false" ht="12.8" hidden="false" customHeight="false" outlineLevel="0" collapsed="false">
      <c r="A719" s="44" t="n">
        <v>8</v>
      </c>
      <c r="B719" s="44" t="s">
        <v>203</v>
      </c>
      <c r="C719" s="44" t="s">
        <v>158</v>
      </c>
      <c r="D719" s="45" t="str">
        <f aca="true">OFFSET(plates!$B$75,CODE(LEFT(B719,1))-64,-1)&amp;"-"&amp;OFFSET(plates!$B$55,-1,MID(B719,2,3)+0)</f>
        <v>bc314-bc336</v>
      </c>
      <c r="E719" s="46" t="str">
        <f aca="true">OFFSET(plates!$B$75,CODE(LEFT(B719,1))-64,MID(B719,2,3)+0)&amp;""</f>
        <v/>
      </c>
      <c r="F719" s="46"/>
      <c r="G719" s="47"/>
      <c r="H719" s="47"/>
    </row>
    <row r="720" customFormat="false" ht="12.8" hidden="false" customHeight="false" outlineLevel="0" collapsed="false">
      <c r="A720" s="44" t="n">
        <v>8</v>
      </c>
      <c r="B720" s="44" t="s">
        <v>204</v>
      </c>
      <c r="C720" s="44" t="s">
        <v>158</v>
      </c>
      <c r="D720" s="45" t="str">
        <f aca="true">OFFSET(plates!$B$75,CODE(LEFT(B720,1))-64,-1)&amp;"-"&amp;OFFSET(plates!$B$55,-1,MID(B720,2,3)+0)</f>
        <v>bc321-bc336</v>
      </c>
      <c r="E720" s="46" t="str">
        <f aca="true">OFFSET(plates!$B$75,CODE(LEFT(B720,1))-64,MID(B720,2,3)+0)&amp;""</f>
        <v/>
      </c>
      <c r="F720" s="46"/>
      <c r="G720" s="47"/>
      <c r="H720" s="47"/>
    </row>
    <row r="721" customFormat="false" ht="12.8" hidden="false" customHeight="false" outlineLevel="0" collapsed="false">
      <c r="A721" s="44" t="n">
        <v>8</v>
      </c>
      <c r="B721" s="44" t="s">
        <v>205</v>
      </c>
      <c r="C721" s="44" t="s">
        <v>158</v>
      </c>
      <c r="D721" s="45" t="str">
        <f aca="true">OFFSET(plates!$B$75,CODE(LEFT(B721,1))-64,-1)&amp;"-"&amp;OFFSET(plates!$B$55,-1,MID(B721,2,3)+0)</f>
        <v>bc324-bc336</v>
      </c>
      <c r="E721" s="46" t="str">
        <f aca="true">OFFSET(plates!$B$75,CODE(LEFT(B721,1))-64,MID(B721,2,3)+0)&amp;""</f>
        <v/>
      </c>
      <c r="F721" s="46"/>
      <c r="G721" s="47"/>
      <c r="H721" s="47"/>
    </row>
    <row r="722" customFormat="false" ht="12.8" hidden="false" customHeight="false" outlineLevel="0" collapsed="false">
      <c r="A722" s="44" t="n">
        <v>8</v>
      </c>
      <c r="B722" s="44" t="s">
        <v>206</v>
      </c>
      <c r="C722" s="44" t="s">
        <v>158</v>
      </c>
      <c r="D722" s="45" t="str">
        <f aca="true">OFFSET(plates!$B$75,CODE(LEFT(B722,1))-64,-1)&amp;"-"&amp;OFFSET(plates!$B$55,-1,MID(B722,2,3)+0)</f>
        <v>bc272-bc365</v>
      </c>
      <c r="E722" s="46" t="str">
        <f aca="true">OFFSET(plates!$B$75,CODE(LEFT(B722,1))-64,MID(B722,2,3)+0)&amp;""</f>
        <v/>
      </c>
      <c r="F722" s="46"/>
      <c r="G722" s="47"/>
      <c r="H722" s="47"/>
    </row>
    <row r="723" customFormat="false" ht="12.8" hidden="false" customHeight="false" outlineLevel="0" collapsed="false">
      <c r="A723" s="44" t="n">
        <v>8</v>
      </c>
      <c r="B723" s="44" t="s">
        <v>207</v>
      </c>
      <c r="C723" s="44" t="s">
        <v>158</v>
      </c>
      <c r="D723" s="45" t="str">
        <f aca="true">OFFSET(plates!$B$75,CODE(LEFT(B723,1))-64,-1)&amp;"-"&amp;OFFSET(plates!$B$55,-1,MID(B723,2,3)+0)</f>
        <v>bc277-bc365</v>
      </c>
      <c r="E723" s="46" t="str">
        <f aca="true">OFFSET(plates!$B$75,CODE(LEFT(B723,1))-64,MID(B723,2,3)+0)&amp;""</f>
        <v/>
      </c>
      <c r="F723" s="46"/>
      <c r="G723" s="47"/>
      <c r="H723" s="47"/>
    </row>
    <row r="724" customFormat="false" ht="12.8" hidden="false" customHeight="false" outlineLevel="0" collapsed="false">
      <c r="A724" s="44" t="n">
        <v>8</v>
      </c>
      <c r="B724" s="44" t="s">
        <v>208</v>
      </c>
      <c r="C724" s="44" t="s">
        <v>158</v>
      </c>
      <c r="D724" s="45" t="str">
        <f aca="true">OFFSET(plates!$B$75,CODE(LEFT(B724,1))-64,-1)&amp;"-"&amp;OFFSET(plates!$B$55,-1,MID(B724,2,3)+0)</f>
        <v>bc282-bc365</v>
      </c>
      <c r="E724" s="46" t="str">
        <f aca="true">OFFSET(plates!$B$75,CODE(LEFT(B724,1))-64,MID(B724,2,3)+0)&amp;""</f>
        <v/>
      </c>
      <c r="F724" s="46"/>
      <c r="G724" s="47"/>
      <c r="H724" s="47"/>
    </row>
    <row r="725" customFormat="false" ht="12.8" hidden="false" customHeight="false" outlineLevel="0" collapsed="false">
      <c r="A725" s="44" t="n">
        <v>8</v>
      </c>
      <c r="B725" s="44" t="s">
        <v>209</v>
      </c>
      <c r="C725" s="44" t="s">
        <v>158</v>
      </c>
      <c r="D725" s="45" t="str">
        <f aca="true">OFFSET(plates!$B$75,CODE(LEFT(B725,1))-64,-1)&amp;"-"&amp;OFFSET(plates!$B$55,-1,MID(B725,2,3)+0)</f>
        <v>bc286-bc365</v>
      </c>
      <c r="E725" s="46" t="str">
        <f aca="true">OFFSET(plates!$B$75,CODE(LEFT(B725,1))-64,MID(B725,2,3)+0)&amp;""</f>
        <v/>
      </c>
      <c r="F725" s="46"/>
      <c r="G725" s="47"/>
      <c r="H725" s="47"/>
    </row>
    <row r="726" customFormat="false" ht="12.8" hidden="false" customHeight="false" outlineLevel="0" collapsed="false">
      <c r="A726" s="44" t="n">
        <v>8</v>
      </c>
      <c r="B726" s="44" t="s">
        <v>210</v>
      </c>
      <c r="C726" s="44" t="s">
        <v>158</v>
      </c>
      <c r="D726" s="45" t="str">
        <f aca="true">OFFSET(plates!$B$75,CODE(LEFT(B726,1))-64,-1)&amp;"-"&amp;OFFSET(plates!$B$55,-1,MID(B726,2,3)+0)</f>
        <v>bc298-bc365</v>
      </c>
      <c r="E726" s="46" t="str">
        <f aca="true">OFFSET(plates!$B$75,CODE(LEFT(B726,1))-64,MID(B726,2,3)+0)&amp;""</f>
        <v/>
      </c>
      <c r="F726" s="46"/>
      <c r="G726" s="47"/>
      <c r="H726" s="47"/>
    </row>
    <row r="727" customFormat="false" ht="12.8" hidden="false" customHeight="false" outlineLevel="0" collapsed="false">
      <c r="A727" s="44" t="n">
        <v>8</v>
      </c>
      <c r="B727" s="44" t="s">
        <v>211</v>
      </c>
      <c r="C727" s="44" t="s">
        <v>158</v>
      </c>
      <c r="D727" s="45" t="str">
        <f aca="true">OFFSET(plates!$B$75,CODE(LEFT(B727,1))-64,-1)&amp;"-"&amp;OFFSET(plates!$B$55,-1,MID(B727,2,3)+0)</f>
        <v>bc314-bc365</v>
      </c>
      <c r="E727" s="46" t="str">
        <f aca="true">OFFSET(plates!$B$75,CODE(LEFT(B727,1))-64,MID(B727,2,3)+0)&amp;""</f>
        <v/>
      </c>
      <c r="F727" s="46"/>
      <c r="G727" s="47"/>
      <c r="H727" s="47"/>
    </row>
    <row r="728" customFormat="false" ht="12.8" hidden="false" customHeight="false" outlineLevel="0" collapsed="false">
      <c r="A728" s="44" t="n">
        <v>8</v>
      </c>
      <c r="B728" s="44" t="s">
        <v>212</v>
      </c>
      <c r="C728" s="44" t="s">
        <v>158</v>
      </c>
      <c r="D728" s="45" t="str">
        <f aca="true">OFFSET(plates!$B$75,CODE(LEFT(B728,1))-64,-1)&amp;"-"&amp;OFFSET(plates!$B$55,-1,MID(B728,2,3)+0)</f>
        <v>bc321-bc365</v>
      </c>
      <c r="E728" s="46" t="str">
        <f aca="true">OFFSET(plates!$B$75,CODE(LEFT(B728,1))-64,MID(B728,2,3)+0)&amp;""</f>
        <v/>
      </c>
      <c r="F728" s="46"/>
      <c r="G728" s="47"/>
      <c r="H728" s="47"/>
    </row>
    <row r="729" customFormat="false" ht="12.8" hidden="false" customHeight="false" outlineLevel="0" collapsed="false">
      <c r="A729" s="44" t="n">
        <v>8</v>
      </c>
      <c r="B729" s="44" t="s">
        <v>213</v>
      </c>
      <c r="C729" s="44" t="s">
        <v>158</v>
      </c>
      <c r="D729" s="45" t="str">
        <f aca="true">OFFSET(plates!$B$75,CODE(LEFT(B729,1))-64,-1)&amp;"-"&amp;OFFSET(plates!$B$55,-1,MID(B729,2,3)+0)</f>
        <v>bc324-bc365</v>
      </c>
      <c r="E729" s="46" t="str">
        <f aca="true">OFFSET(plates!$B$75,CODE(LEFT(B729,1))-64,MID(B729,2,3)+0)&amp;""</f>
        <v/>
      </c>
      <c r="F729" s="46"/>
      <c r="G729" s="47"/>
      <c r="H729" s="47"/>
    </row>
    <row r="730" customFormat="false" ht="12.8" hidden="false" customHeight="false" outlineLevel="0" collapsed="false">
      <c r="A730" s="44" t="n">
        <v>8</v>
      </c>
      <c r="B730" s="44" t="s">
        <v>214</v>
      </c>
      <c r="C730" s="44" t="s">
        <v>158</v>
      </c>
      <c r="D730" s="45" t="str">
        <f aca="true">OFFSET(plates!$B$75,CODE(LEFT(B730,1))-64,-1)&amp;"-"&amp;OFFSET(plates!$B$55,-1,MID(B730,2,3)+0)</f>
        <v>bc272-bc370</v>
      </c>
      <c r="E730" s="46" t="str">
        <f aca="true">OFFSET(plates!$B$75,CODE(LEFT(B730,1))-64,MID(B730,2,3)+0)&amp;""</f>
        <v/>
      </c>
      <c r="F730" s="46"/>
      <c r="G730" s="47"/>
      <c r="H730" s="47"/>
    </row>
    <row r="731" customFormat="false" ht="12.8" hidden="false" customHeight="false" outlineLevel="0" collapsed="false">
      <c r="A731" s="44" t="n">
        <v>8</v>
      </c>
      <c r="B731" s="44" t="s">
        <v>215</v>
      </c>
      <c r="C731" s="44" t="s">
        <v>158</v>
      </c>
      <c r="D731" s="45" t="str">
        <f aca="true">OFFSET(plates!$B$75,CODE(LEFT(B731,1))-64,-1)&amp;"-"&amp;OFFSET(plates!$B$55,-1,MID(B731,2,3)+0)</f>
        <v>bc277-bc370</v>
      </c>
      <c r="E731" s="46" t="str">
        <f aca="true">OFFSET(plates!$B$75,CODE(LEFT(B731,1))-64,MID(B731,2,3)+0)&amp;""</f>
        <v/>
      </c>
      <c r="F731" s="46"/>
      <c r="G731" s="47"/>
      <c r="H731" s="47"/>
    </row>
    <row r="732" customFormat="false" ht="12.8" hidden="false" customHeight="false" outlineLevel="0" collapsed="false">
      <c r="A732" s="44" t="n">
        <v>8</v>
      </c>
      <c r="B732" s="44" t="s">
        <v>216</v>
      </c>
      <c r="C732" s="44" t="s">
        <v>158</v>
      </c>
      <c r="D732" s="45" t="str">
        <f aca="true">OFFSET(plates!$B$75,CODE(LEFT(B732,1))-64,-1)&amp;"-"&amp;OFFSET(plates!$B$55,-1,MID(B732,2,3)+0)</f>
        <v>bc282-bc370</v>
      </c>
      <c r="E732" s="46" t="str">
        <f aca="true">OFFSET(plates!$B$75,CODE(LEFT(B732,1))-64,MID(B732,2,3)+0)&amp;""</f>
        <v/>
      </c>
      <c r="F732" s="46"/>
      <c r="G732" s="47"/>
      <c r="H732" s="47"/>
    </row>
    <row r="733" customFormat="false" ht="12.8" hidden="false" customHeight="false" outlineLevel="0" collapsed="false">
      <c r="A733" s="44" t="n">
        <v>8</v>
      </c>
      <c r="B733" s="44" t="s">
        <v>217</v>
      </c>
      <c r="C733" s="44" t="s">
        <v>158</v>
      </c>
      <c r="D733" s="45" t="str">
        <f aca="true">OFFSET(plates!$B$75,CODE(LEFT(B733,1))-64,-1)&amp;"-"&amp;OFFSET(plates!$B$55,-1,MID(B733,2,3)+0)</f>
        <v>bc286-bc370</v>
      </c>
      <c r="E733" s="46" t="str">
        <f aca="true">OFFSET(plates!$B$75,CODE(LEFT(B733,1))-64,MID(B733,2,3)+0)&amp;""</f>
        <v/>
      </c>
      <c r="F733" s="46"/>
      <c r="G733" s="47"/>
      <c r="H733" s="47"/>
    </row>
    <row r="734" customFormat="false" ht="12.8" hidden="false" customHeight="false" outlineLevel="0" collapsed="false">
      <c r="A734" s="44" t="n">
        <v>8</v>
      </c>
      <c r="B734" s="44" t="s">
        <v>218</v>
      </c>
      <c r="C734" s="44" t="s">
        <v>158</v>
      </c>
      <c r="D734" s="45" t="str">
        <f aca="true">OFFSET(plates!$B$75,CODE(LEFT(B734,1))-64,-1)&amp;"-"&amp;OFFSET(plates!$B$55,-1,MID(B734,2,3)+0)</f>
        <v>bc298-bc370</v>
      </c>
      <c r="E734" s="46" t="str">
        <f aca="true">OFFSET(plates!$B$75,CODE(LEFT(B734,1))-64,MID(B734,2,3)+0)&amp;""</f>
        <v/>
      </c>
      <c r="F734" s="46"/>
      <c r="G734" s="47"/>
      <c r="H734" s="47"/>
    </row>
    <row r="735" customFormat="false" ht="12.8" hidden="false" customHeight="false" outlineLevel="0" collapsed="false">
      <c r="A735" s="44" t="n">
        <v>8</v>
      </c>
      <c r="B735" s="44" t="s">
        <v>219</v>
      </c>
      <c r="C735" s="44" t="s">
        <v>158</v>
      </c>
      <c r="D735" s="45" t="str">
        <f aca="true">OFFSET(plates!$B$75,CODE(LEFT(B735,1))-64,-1)&amp;"-"&amp;OFFSET(plates!$B$55,-1,MID(B735,2,3)+0)</f>
        <v>bc314-bc370</v>
      </c>
      <c r="E735" s="46" t="str">
        <f aca="true">OFFSET(plates!$B$75,CODE(LEFT(B735,1))-64,MID(B735,2,3)+0)&amp;""</f>
        <v/>
      </c>
      <c r="F735" s="46"/>
      <c r="G735" s="47"/>
      <c r="H735" s="47"/>
    </row>
    <row r="736" customFormat="false" ht="12.8" hidden="false" customHeight="false" outlineLevel="0" collapsed="false">
      <c r="A736" s="44" t="n">
        <v>8</v>
      </c>
      <c r="B736" s="44" t="s">
        <v>220</v>
      </c>
      <c r="C736" s="44" t="s">
        <v>158</v>
      </c>
      <c r="D736" s="45" t="str">
        <f aca="true">OFFSET(plates!$B$75,CODE(LEFT(B736,1))-64,-1)&amp;"-"&amp;OFFSET(plates!$B$55,-1,MID(B736,2,3)+0)</f>
        <v>bc321-bc370</v>
      </c>
      <c r="E736" s="46" t="str">
        <f aca="true">OFFSET(plates!$B$75,CODE(LEFT(B736,1))-64,MID(B736,2,3)+0)&amp;""</f>
        <v/>
      </c>
      <c r="F736" s="46"/>
      <c r="G736" s="47"/>
      <c r="H736" s="47"/>
    </row>
    <row r="737" customFormat="false" ht="12.8" hidden="false" customHeight="false" outlineLevel="0" collapsed="false">
      <c r="A737" s="44" t="n">
        <v>8</v>
      </c>
      <c r="B737" s="44" t="s">
        <v>221</v>
      </c>
      <c r="C737" s="44" t="s">
        <v>158</v>
      </c>
      <c r="D737" s="45" t="str">
        <f aca="true">OFFSET(plates!$B$75,CODE(LEFT(B737,1))-64,-1)&amp;"-"&amp;OFFSET(plates!$B$55,-1,MID(B737,2,3)+0)</f>
        <v>bc324-bc370</v>
      </c>
      <c r="E737" s="46" t="str">
        <f aca="true">OFFSET(plates!$B$75,CODE(LEFT(B737,1))-64,MID(B737,2,3)+0)&amp;""</f>
        <v/>
      </c>
      <c r="F737" s="46"/>
      <c r="G737" s="47"/>
      <c r="H737" s="47"/>
    </row>
    <row r="738" customFormat="false" ht="12.8" hidden="false" customHeight="false" outlineLevel="0" collapsed="false">
      <c r="A738" s="44" t="n">
        <v>8</v>
      </c>
      <c r="B738" s="44" t="s">
        <v>222</v>
      </c>
      <c r="C738" s="44" t="s">
        <v>158</v>
      </c>
      <c r="D738" s="45" t="str">
        <f aca="true">OFFSET(plates!$B$75,CODE(LEFT(B738,1))-64,-1)&amp;"-"&amp;OFFSET(plates!$B$55,-1,MID(B738,2,3)+0)</f>
        <v>bc272-bc387</v>
      </c>
      <c r="E738" s="46" t="str">
        <f aca="true">OFFSET(plates!$B$75,CODE(LEFT(B738,1))-64,MID(B738,2,3)+0)&amp;""</f>
        <v/>
      </c>
      <c r="F738" s="46"/>
      <c r="G738" s="47"/>
      <c r="H738" s="47"/>
    </row>
    <row r="739" customFormat="false" ht="12.8" hidden="false" customHeight="false" outlineLevel="0" collapsed="false">
      <c r="A739" s="44" t="n">
        <v>8</v>
      </c>
      <c r="B739" s="44" t="s">
        <v>223</v>
      </c>
      <c r="C739" s="44" t="s">
        <v>158</v>
      </c>
      <c r="D739" s="45" t="str">
        <f aca="true">OFFSET(plates!$B$75,CODE(LEFT(B739,1))-64,-1)&amp;"-"&amp;OFFSET(plates!$B$55,-1,MID(B739,2,3)+0)</f>
        <v>bc277-bc387</v>
      </c>
      <c r="E739" s="46" t="str">
        <f aca="true">OFFSET(plates!$B$75,CODE(LEFT(B739,1))-64,MID(B739,2,3)+0)&amp;""</f>
        <v/>
      </c>
      <c r="F739" s="46"/>
      <c r="G739" s="47"/>
      <c r="H739" s="47"/>
    </row>
    <row r="740" customFormat="false" ht="12.8" hidden="false" customHeight="false" outlineLevel="0" collapsed="false">
      <c r="A740" s="44" t="n">
        <v>8</v>
      </c>
      <c r="B740" s="44" t="s">
        <v>224</v>
      </c>
      <c r="C740" s="44" t="s">
        <v>158</v>
      </c>
      <c r="D740" s="45" t="str">
        <f aca="true">OFFSET(plates!$B$75,CODE(LEFT(B740,1))-64,-1)&amp;"-"&amp;OFFSET(plates!$B$55,-1,MID(B740,2,3)+0)</f>
        <v>bc282-bc387</v>
      </c>
      <c r="E740" s="46" t="str">
        <f aca="true">OFFSET(plates!$B$75,CODE(LEFT(B740,1))-64,MID(B740,2,3)+0)&amp;""</f>
        <v/>
      </c>
      <c r="F740" s="46"/>
      <c r="G740" s="47"/>
      <c r="H740" s="47"/>
    </row>
    <row r="741" customFormat="false" ht="12.8" hidden="false" customHeight="false" outlineLevel="0" collapsed="false">
      <c r="A741" s="44" t="n">
        <v>8</v>
      </c>
      <c r="B741" s="44" t="s">
        <v>225</v>
      </c>
      <c r="C741" s="44" t="s">
        <v>158</v>
      </c>
      <c r="D741" s="45" t="str">
        <f aca="true">OFFSET(plates!$B$75,CODE(LEFT(B741,1))-64,-1)&amp;"-"&amp;OFFSET(plates!$B$55,-1,MID(B741,2,3)+0)</f>
        <v>bc286-bc387</v>
      </c>
      <c r="E741" s="46" t="str">
        <f aca="true">OFFSET(plates!$B$75,CODE(LEFT(B741,1))-64,MID(B741,2,3)+0)&amp;""</f>
        <v/>
      </c>
      <c r="F741" s="46"/>
      <c r="G741" s="47"/>
      <c r="H741" s="47"/>
    </row>
    <row r="742" customFormat="false" ht="12.8" hidden="false" customHeight="false" outlineLevel="0" collapsed="false">
      <c r="A742" s="44" t="n">
        <v>8</v>
      </c>
      <c r="B742" s="44" t="s">
        <v>226</v>
      </c>
      <c r="C742" s="44" t="s">
        <v>158</v>
      </c>
      <c r="D742" s="45" t="str">
        <f aca="true">OFFSET(plates!$B$75,CODE(LEFT(B742,1))-64,-1)&amp;"-"&amp;OFFSET(plates!$B$55,-1,MID(B742,2,3)+0)</f>
        <v>bc298-bc387</v>
      </c>
      <c r="E742" s="46" t="str">
        <f aca="true">OFFSET(plates!$B$75,CODE(LEFT(B742,1))-64,MID(B742,2,3)+0)&amp;""</f>
        <v/>
      </c>
      <c r="F742" s="46"/>
      <c r="G742" s="47"/>
      <c r="H742" s="47"/>
    </row>
    <row r="743" customFormat="false" ht="12.8" hidden="false" customHeight="false" outlineLevel="0" collapsed="false">
      <c r="A743" s="44" t="n">
        <v>8</v>
      </c>
      <c r="B743" s="44" t="s">
        <v>227</v>
      </c>
      <c r="C743" s="44" t="s">
        <v>158</v>
      </c>
      <c r="D743" s="45" t="str">
        <f aca="true">OFFSET(plates!$B$75,CODE(LEFT(B743,1))-64,-1)&amp;"-"&amp;OFFSET(plates!$B$55,-1,MID(B743,2,3)+0)</f>
        <v>bc314-bc387</v>
      </c>
      <c r="E743" s="46" t="str">
        <f aca="true">OFFSET(plates!$B$75,CODE(LEFT(B743,1))-64,MID(B743,2,3)+0)&amp;""</f>
        <v/>
      </c>
      <c r="F743" s="46"/>
      <c r="G743" s="47"/>
      <c r="H743" s="47"/>
    </row>
    <row r="744" customFormat="false" ht="12.8" hidden="false" customHeight="false" outlineLevel="0" collapsed="false">
      <c r="A744" s="44" t="n">
        <v>8</v>
      </c>
      <c r="B744" s="44" t="s">
        <v>228</v>
      </c>
      <c r="C744" s="44" t="s">
        <v>158</v>
      </c>
      <c r="D744" s="45" t="str">
        <f aca="true">OFFSET(plates!$B$75,CODE(LEFT(B744,1))-64,-1)&amp;"-"&amp;OFFSET(plates!$B$55,-1,MID(B744,2,3)+0)</f>
        <v>bc321-bc387</v>
      </c>
      <c r="E744" s="46" t="str">
        <f aca="true">OFFSET(plates!$B$75,CODE(LEFT(B744,1))-64,MID(B744,2,3)+0)&amp;""</f>
        <v/>
      </c>
      <c r="F744" s="46"/>
      <c r="G744" s="47"/>
      <c r="H744" s="47"/>
    </row>
    <row r="745" customFormat="false" ht="12.8" hidden="false" customHeight="false" outlineLevel="0" collapsed="false">
      <c r="A745" s="44" t="n">
        <v>8</v>
      </c>
      <c r="B745" s="44" t="s">
        <v>229</v>
      </c>
      <c r="C745" s="44" t="s">
        <v>158</v>
      </c>
      <c r="D745" s="45" t="str">
        <f aca="true">OFFSET(plates!$B$75,CODE(LEFT(B745,1))-64,-1)&amp;"-"&amp;OFFSET(plates!$B$55,-1,MID(B745,2,3)+0)</f>
        <v>bc324-bc387</v>
      </c>
      <c r="E745" s="46" t="str">
        <f aca="true">OFFSET(plates!$B$75,CODE(LEFT(B745,1))-64,MID(B745,2,3)+0)&amp;""</f>
        <v/>
      </c>
      <c r="F745" s="46"/>
      <c r="G745" s="47"/>
      <c r="H745" s="47"/>
    </row>
    <row r="746" customFormat="false" ht="12.8" hidden="false" customHeight="false" outlineLevel="0" collapsed="false">
      <c r="A746" s="44" t="n">
        <v>8</v>
      </c>
      <c r="B746" s="44" t="s">
        <v>230</v>
      </c>
      <c r="C746" s="44" t="s">
        <v>158</v>
      </c>
      <c r="D746" s="45" t="str">
        <f aca="true">OFFSET(plates!$B$75,CODE(LEFT(B746,1))-64,-1)&amp;"-"&amp;OFFSET(plates!$B$55,-1,MID(B746,2,3)+0)</f>
        <v>bc272-bc388</v>
      </c>
      <c r="E746" s="46" t="str">
        <f aca="true">OFFSET(plates!$B$75,CODE(LEFT(B746,1))-64,MID(B746,2,3)+0)&amp;""</f>
        <v/>
      </c>
      <c r="F746" s="46"/>
      <c r="G746" s="47"/>
      <c r="H746" s="47"/>
    </row>
    <row r="747" customFormat="false" ht="12.8" hidden="false" customHeight="false" outlineLevel="0" collapsed="false">
      <c r="A747" s="44" t="n">
        <v>8</v>
      </c>
      <c r="B747" s="44" t="s">
        <v>231</v>
      </c>
      <c r="C747" s="44" t="s">
        <v>158</v>
      </c>
      <c r="D747" s="45" t="str">
        <f aca="true">OFFSET(plates!$B$75,CODE(LEFT(B747,1))-64,-1)&amp;"-"&amp;OFFSET(plates!$B$55,-1,MID(B747,2,3)+0)</f>
        <v>bc277-bc388</v>
      </c>
      <c r="E747" s="46" t="str">
        <f aca="true">OFFSET(plates!$B$75,CODE(LEFT(B747,1))-64,MID(B747,2,3)+0)&amp;""</f>
        <v/>
      </c>
      <c r="F747" s="46"/>
      <c r="G747" s="47"/>
      <c r="H747" s="47"/>
    </row>
    <row r="748" customFormat="false" ht="12.8" hidden="false" customHeight="false" outlineLevel="0" collapsed="false">
      <c r="A748" s="44" t="n">
        <v>8</v>
      </c>
      <c r="B748" s="44" t="s">
        <v>232</v>
      </c>
      <c r="C748" s="44" t="s">
        <v>158</v>
      </c>
      <c r="D748" s="45" t="str">
        <f aca="true">OFFSET(plates!$B$75,CODE(LEFT(B748,1))-64,-1)&amp;"-"&amp;OFFSET(plates!$B$55,-1,MID(B748,2,3)+0)</f>
        <v>bc282-bc388</v>
      </c>
      <c r="E748" s="46" t="str">
        <f aca="true">OFFSET(plates!$B$75,CODE(LEFT(B748,1))-64,MID(B748,2,3)+0)&amp;""</f>
        <v/>
      </c>
      <c r="F748" s="46"/>
      <c r="G748" s="47"/>
      <c r="H748" s="47"/>
    </row>
    <row r="749" s="48" customFormat="true" ht="12.8" hidden="false" customHeight="false" outlineLevel="0" collapsed="false">
      <c r="A749" s="44" t="n">
        <v>8</v>
      </c>
      <c r="B749" s="44" t="s">
        <v>233</v>
      </c>
      <c r="C749" s="44" t="s">
        <v>158</v>
      </c>
      <c r="D749" s="45" t="str">
        <f aca="true">OFFSET(plates!$B$75,CODE(LEFT(B749,1))-64,-1)&amp;"-"&amp;OFFSET(plates!$B$55,-1,MID(B749,2,3)+0)</f>
        <v>bc286-bc388</v>
      </c>
      <c r="E749" s="46" t="str">
        <f aca="true">OFFSET(plates!$B$75,CODE(LEFT(B749,1))-64,MID(B749,2,3)+0)&amp;""</f>
        <v/>
      </c>
      <c r="F749" s="46"/>
      <c r="G749" s="47"/>
      <c r="H749" s="47"/>
      <c r="I749" s="36"/>
      <c r="J749" s="36"/>
      <c r="K749" s="36"/>
      <c r="L749" s="36"/>
      <c r="M749" s="36"/>
    </row>
    <row r="750" customFormat="false" ht="12.8" hidden="false" customHeight="false" outlineLevel="0" collapsed="false">
      <c r="A750" s="44" t="n">
        <v>8</v>
      </c>
      <c r="B750" s="44" t="s">
        <v>234</v>
      </c>
      <c r="C750" s="44" t="s">
        <v>158</v>
      </c>
      <c r="D750" s="45" t="str">
        <f aca="true">OFFSET(plates!$B$75,CODE(LEFT(B750,1))-64,-1)&amp;"-"&amp;OFFSET(plates!$B$55,-1,MID(B750,2,3)+0)</f>
        <v>bc298-bc388</v>
      </c>
      <c r="E750" s="46" t="str">
        <f aca="true">OFFSET(plates!$B$75,CODE(LEFT(B750,1))-64,MID(B750,2,3)+0)&amp;""</f>
        <v/>
      </c>
      <c r="F750" s="46"/>
      <c r="G750" s="47"/>
      <c r="H750" s="47"/>
    </row>
    <row r="751" customFormat="false" ht="12.8" hidden="false" customHeight="false" outlineLevel="0" collapsed="false">
      <c r="A751" s="44" t="n">
        <v>8</v>
      </c>
      <c r="B751" s="44" t="s">
        <v>235</v>
      </c>
      <c r="C751" s="44" t="s">
        <v>158</v>
      </c>
      <c r="D751" s="45" t="str">
        <f aca="true">OFFSET(plates!$B$75,CODE(LEFT(B751,1))-64,-1)&amp;"-"&amp;OFFSET(plates!$B$55,-1,MID(B751,2,3)+0)</f>
        <v>bc314-bc388</v>
      </c>
      <c r="E751" s="46" t="str">
        <f aca="true">OFFSET(plates!$B$75,CODE(LEFT(B751,1))-64,MID(B751,2,3)+0)&amp;""</f>
        <v/>
      </c>
      <c r="F751" s="46"/>
      <c r="G751" s="47"/>
      <c r="H751" s="47"/>
    </row>
    <row r="752" customFormat="false" ht="12.8" hidden="false" customHeight="false" outlineLevel="0" collapsed="false">
      <c r="A752" s="44" t="n">
        <v>8</v>
      </c>
      <c r="B752" s="44" t="s">
        <v>236</v>
      </c>
      <c r="C752" s="44" t="s">
        <v>158</v>
      </c>
      <c r="D752" s="45" t="str">
        <f aca="true">OFFSET(plates!$B$75,CODE(LEFT(B752,1))-64,-1)&amp;"-"&amp;OFFSET(plates!$B$55,-1,MID(B752,2,3)+0)</f>
        <v>bc321-bc388</v>
      </c>
      <c r="E752" s="46" t="str">
        <f aca="true">OFFSET(plates!$B$75,CODE(LEFT(B752,1))-64,MID(B752,2,3)+0)&amp;""</f>
        <v/>
      </c>
      <c r="F752" s="46"/>
      <c r="G752" s="47"/>
      <c r="H752" s="47"/>
    </row>
    <row r="753" customFormat="false" ht="12.8" hidden="false" customHeight="false" outlineLevel="0" collapsed="false">
      <c r="A753" s="44" t="n">
        <v>8</v>
      </c>
      <c r="B753" s="44" t="s">
        <v>237</v>
      </c>
      <c r="C753" s="44" t="s">
        <v>158</v>
      </c>
      <c r="D753" s="45" t="str">
        <f aca="true">OFFSET(plates!$B$75,CODE(LEFT(B753,1))-64,-1)&amp;"-"&amp;OFFSET(plates!$B$55,-1,MID(B753,2,3)+0)</f>
        <v>bc324-bc388</v>
      </c>
      <c r="E753" s="46" t="str">
        <f aca="true">OFFSET(plates!$B$75,CODE(LEFT(B753,1))-64,MID(B753,2,3)+0)&amp;""</f>
        <v/>
      </c>
      <c r="F753" s="46"/>
      <c r="G753" s="47"/>
      <c r="H753" s="47"/>
    </row>
    <row r="754" customFormat="false" ht="12.8" hidden="false" customHeight="false" outlineLevel="0" collapsed="false">
      <c r="A754" s="44" t="n">
        <v>8</v>
      </c>
      <c r="B754" s="44" t="s">
        <v>238</v>
      </c>
      <c r="C754" s="44" t="s">
        <v>158</v>
      </c>
      <c r="D754" s="45" t="str">
        <f aca="true">OFFSET(plates!$B$75,CODE(LEFT(B754,1))-64,-1)&amp;"-"&amp;OFFSET(plates!$B$55,-1,MID(B754,2,3)+0)</f>
        <v>bc272-bc396</v>
      </c>
      <c r="E754" s="46" t="str">
        <f aca="true">OFFSET(plates!$B$75,CODE(LEFT(B754,1))-64,MID(B754,2,3)+0)&amp;""</f>
        <v/>
      </c>
      <c r="F754" s="46"/>
      <c r="G754" s="47"/>
      <c r="H754" s="47"/>
    </row>
    <row r="755" customFormat="false" ht="12.8" hidden="false" customHeight="false" outlineLevel="0" collapsed="false">
      <c r="A755" s="44" t="n">
        <v>8</v>
      </c>
      <c r="B755" s="44" t="s">
        <v>239</v>
      </c>
      <c r="C755" s="44" t="s">
        <v>158</v>
      </c>
      <c r="D755" s="45" t="str">
        <f aca="true">OFFSET(plates!$B$75,CODE(LEFT(B755,1))-64,-1)&amp;"-"&amp;OFFSET(plates!$B$55,-1,MID(B755,2,3)+0)</f>
        <v>bc277-bc396</v>
      </c>
      <c r="E755" s="46" t="str">
        <f aca="true">OFFSET(plates!$B$75,CODE(LEFT(B755,1))-64,MID(B755,2,3)+0)&amp;""</f>
        <v/>
      </c>
      <c r="F755" s="46"/>
      <c r="G755" s="47"/>
      <c r="H755" s="47"/>
    </row>
    <row r="756" customFormat="false" ht="12.8" hidden="false" customHeight="false" outlineLevel="0" collapsed="false">
      <c r="A756" s="44" t="n">
        <v>8</v>
      </c>
      <c r="B756" s="44" t="s">
        <v>240</v>
      </c>
      <c r="C756" s="44" t="s">
        <v>158</v>
      </c>
      <c r="D756" s="45" t="str">
        <f aca="true">OFFSET(plates!$B$75,CODE(LEFT(B756,1))-64,-1)&amp;"-"&amp;OFFSET(plates!$B$55,-1,MID(B756,2,3)+0)</f>
        <v>bc282-bc396</v>
      </c>
      <c r="E756" s="46" t="str">
        <f aca="true">OFFSET(plates!$B$75,CODE(LEFT(B756,1))-64,MID(B756,2,3)+0)&amp;""</f>
        <v/>
      </c>
      <c r="F756" s="46"/>
      <c r="G756" s="47"/>
      <c r="H756" s="47"/>
    </row>
    <row r="757" customFormat="false" ht="12.8" hidden="false" customHeight="false" outlineLevel="0" collapsed="false">
      <c r="A757" s="44" t="n">
        <v>8</v>
      </c>
      <c r="B757" s="44" t="s">
        <v>241</v>
      </c>
      <c r="C757" s="44" t="s">
        <v>158</v>
      </c>
      <c r="D757" s="45" t="str">
        <f aca="true">OFFSET(plates!$B$75,CODE(LEFT(B757,1))-64,-1)&amp;"-"&amp;OFFSET(plates!$B$55,-1,MID(B757,2,3)+0)</f>
        <v>bc286-bc396</v>
      </c>
      <c r="E757" s="46" t="str">
        <f aca="true">OFFSET(plates!$B$75,CODE(LEFT(B757,1))-64,MID(B757,2,3)+0)&amp;""</f>
        <v/>
      </c>
      <c r="F757" s="46"/>
      <c r="G757" s="47"/>
      <c r="H757" s="47"/>
    </row>
    <row r="758" customFormat="false" ht="12.8" hidden="false" customHeight="false" outlineLevel="0" collapsed="false">
      <c r="A758" s="44" t="n">
        <v>8</v>
      </c>
      <c r="B758" s="44" t="s">
        <v>242</v>
      </c>
      <c r="C758" s="44" t="s">
        <v>158</v>
      </c>
      <c r="D758" s="45" t="str">
        <f aca="true">OFFSET(plates!$B$75,CODE(LEFT(B758,1))-64,-1)&amp;"-"&amp;OFFSET(plates!$B$55,-1,MID(B758,2,3)+0)</f>
        <v>bc298-bc396</v>
      </c>
      <c r="E758" s="46" t="str">
        <f aca="true">OFFSET(plates!$B$75,CODE(LEFT(B758,1))-64,MID(B758,2,3)+0)&amp;""</f>
        <v/>
      </c>
      <c r="F758" s="46"/>
      <c r="G758" s="47"/>
      <c r="H758" s="47"/>
    </row>
    <row r="759" customFormat="false" ht="12.8" hidden="false" customHeight="false" outlineLevel="0" collapsed="false">
      <c r="A759" s="44" t="n">
        <v>8</v>
      </c>
      <c r="B759" s="44" t="s">
        <v>243</v>
      </c>
      <c r="C759" s="44" t="s">
        <v>158</v>
      </c>
      <c r="D759" s="45" t="str">
        <f aca="true">OFFSET(plates!$B$75,CODE(LEFT(B759,1))-64,-1)&amp;"-"&amp;OFFSET(plates!$B$55,-1,MID(B759,2,3)+0)</f>
        <v>bc314-bc396</v>
      </c>
      <c r="E759" s="46" t="str">
        <f aca="true">OFFSET(plates!$B$75,CODE(LEFT(B759,1))-64,MID(B759,2,3)+0)&amp;""</f>
        <v/>
      </c>
      <c r="F759" s="46"/>
      <c r="G759" s="47"/>
      <c r="H759" s="47"/>
    </row>
    <row r="760" customFormat="false" ht="12.8" hidden="false" customHeight="false" outlineLevel="0" collapsed="false">
      <c r="A760" s="44" t="n">
        <v>8</v>
      </c>
      <c r="B760" s="44" t="s">
        <v>244</v>
      </c>
      <c r="C760" s="44" t="s">
        <v>158</v>
      </c>
      <c r="D760" s="45" t="str">
        <f aca="true">OFFSET(plates!$B$75,CODE(LEFT(B760,1))-64,-1)&amp;"-"&amp;OFFSET(plates!$B$55,-1,MID(B760,2,3)+0)</f>
        <v>bc321-bc396</v>
      </c>
      <c r="E760" s="46" t="str">
        <f aca="true">OFFSET(plates!$B$75,CODE(LEFT(B760,1))-64,MID(B760,2,3)+0)&amp;""</f>
        <v/>
      </c>
      <c r="F760" s="46"/>
      <c r="G760" s="47"/>
      <c r="H760" s="47"/>
    </row>
    <row r="761" customFormat="false" ht="12.8" hidden="false" customHeight="false" outlineLevel="0" collapsed="false">
      <c r="A761" s="44" t="n">
        <v>8</v>
      </c>
      <c r="B761" s="44" t="s">
        <v>245</v>
      </c>
      <c r="C761" s="44" t="s">
        <v>158</v>
      </c>
      <c r="D761" s="45" t="str">
        <f aca="true">OFFSET(plates!$B$75,CODE(LEFT(B761,1))-64,-1)&amp;"-"&amp;OFFSET(plates!$B$55,-1,MID(B761,2,3)+0)</f>
        <v>bc324-bc396</v>
      </c>
      <c r="E761" s="46" t="str">
        <f aca="true">OFFSET(plates!$B$75,CODE(LEFT(B761,1))-64,MID(B761,2,3)+0)&amp;""</f>
        <v/>
      </c>
      <c r="F761" s="46"/>
      <c r="G761" s="47"/>
      <c r="H761" s="47"/>
    </row>
    <row r="762" customFormat="false" ht="12.8" hidden="false" customHeight="false" outlineLevel="0" collapsed="false">
      <c r="A762" s="44" t="n">
        <v>8</v>
      </c>
      <c r="B762" s="44" t="s">
        <v>246</v>
      </c>
      <c r="C762" s="44" t="s">
        <v>158</v>
      </c>
      <c r="D762" s="45" t="str">
        <f aca="true">OFFSET(plates!$B$75,CODE(LEFT(B762,1))-64,-1)&amp;"-"&amp;OFFSET(plates!$B$55,-1,MID(B762,2,3)+0)</f>
        <v>bc272-bc397</v>
      </c>
      <c r="E762" s="46" t="str">
        <f aca="true">OFFSET(plates!$B$75,CODE(LEFT(B762,1))-64,MID(B762,2,3)+0)&amp;""</f>
        <v/>
      </c>
      <c r="F762" s="46"/>
      <c r="G762" s="47"/>
      <c r="H762" s="47"/>
    </row>
    <row r="763" customFormat="false" ht="12.8" hidden="false" customHeight="false" outlineLevel="0" collapsed="false">
      <c r="A763" s="44" t="n">
        <v>8</v>
      </c>
      <c r="B763" s="44" t="s">
        <v>247</v>
      </c>
      <c r="C763" s="44" t="s">
        <v>158</v>
      </c>
      <c r="D763" s="45" t="str">
        <f aca="true">OFFSET(plates!$B$75,CODE(LEFT(B763,1))-64,-1)&amp;"-"&amp;OFFSET(plates!$B$55,-1,MID(B763,2,3)+0)</f>
        <v>bc277-bc397</v>
      </c>
      <c r="E763" s="46" t="str">
        <f aca="true">OFFSET(plates!$B$75,CODE(LEFT(B763,1))-64,MID(B763,2,3)+0)&amp;""</f>
        <v/>
      </c>
      <c r="F763" s="46"/>
      <c r="G763" s="47"/>
      <c r="H763" s="47"/>
    </row>
    <row r="764" customFormat="false" ht="12.8" hidden="false" customHeight="false" outlineLevel="0" collapsed="false">
      <c r="A764" s="44" t="n">
        <v>8</v>
      </c>
      <c r="B764" s="44" t="s">
        <v>248</v>
      </c>
      <c r="C764" s="44" t="s">
        <v>158</v>
      </c>
      <c r="D764" s="45" t="str">
        <f aca="true">OFFSET(plates!$B$75,CODE(LEFT(B764,1))-64,-1)&amp;"-"&amp;OFFSET(plates!$B$55,-1,MID(B764,2,3)+0)</f>
        <v>bc282-bc397</v>
      </c>
      <c r="E764" s="46" t="str">
        <f aca="true">OFFSET(plates!$B$75,CODE(LEFT(B764,1))-64,MID(B764,2,3)+0)&amp;""</f>
        <v/>
      </c>
      <c r="F764" s="46"/>
      <c r="G764" s="47"/>
      <c r="H764" s="47"/>
    </row>
    <row r="765" customFormat="false" ht="12.8" hidden="false" customHeight="false" outlineLevel="0" collapsed="false">
      <c r="A765" s="44" t="n">
        <v>8</v>
      </c>
      <c r="B765" s="44" t="s">
        <v>249</v>
      </c>
      <c r="C765" s="44" t="s">
        <v>158</v>
      </c>
      <c r="D765" s="45" t="str">
        <f aca="true">OFFSET(plates!$B$75,CODE(LEFT(B765,1))-64,-1)&amp;"-"&amp;OFFSET(plates!$B$55,-1,MID(B765,2,3)+0)</f>
        <v>bc286-bc397</v>
      </c>
      <c r="E765" s="46" t="str">
        <f aca="true">OFFSET(plates!$B$75,CODE(LEFT(B765,1))-64,MID(B765,2,3)+0)&amp;""</f>
        <v/>
      </c>
      <c r="F765" s="46"/>
      <c r="G765" s="47"/>
      <c r="H765" s="47"/>
    </row>
    <row r="766" customFormat="false" ht="12.8" hidden="false" customHeight="false" outlineLevel="0" collapsed="false">
      <c r="A766" s="44" t="n">
        <v>8</v>
      </c>
      <c r="B766" s="44" t="s">
        <v>250</v>
      </c>
      <c r="C766" s="44" t="s">
        <v>158</v>
      </c>
      <c r="D766" s="45" t="str">
        <f aca="true">OFFSET(plates!$B$75,CODE(LEFT(B766,1))-64,-1)&amp;"-"&amp;OFFSET(plates!$B$55,-1,MID(B766,2,3)+0)</f>
        <v>bc298-bc397</v>
      </c>
      <c r="E766" s="46" t="str">
        <f aca="true">OFFSET(plates!$B$75,CODE(LEFT(B766,1))-64,MID(B766,2,3)+0)&amp;""</f>
        <v/>
      </c>
      <c r="F766" s="46"/>
      <c r="G766" s="47"/>
      <c r="H766" s="47"/>
    </row>
    <row r="767" customFormat="false" ht="12.8" hidden="false" customHeight="false" outlineLevel="0" collapsed="false">
      <c r="A767" s="44" t="n">
        <v>8</v>
      </c>
      <c r="B767" s="44" t="s">
        <v>251</v>
      </c>
      <c r="C767" s="44" t="s">
        <v>158</v>
      </c>
      <c r="D767" s="45" t="str">
        <f aca="true">OFFSET(plates!$B$75,CODE(LEFT(B767,1))-64,-1)&amp;"-"&amp;OFFSET(plates!$B$55,-1,MID(B767,2,3)+0)</f>
        <v>bc314-bc397</v>
      </c>
      <c r="E767" s="46" t="str">
        <f aca="true">OFFSET(plates!$B$75,CODE(LEFT(B767,1))-64,MID(B767,2,3)+0)&amp;""</f>
        <v/>
      </c>
      <c r="F767" s="46"/>
      <c r="G767" s="47"/>
      <c r="H767" s="47"/>
      <c r="I767" s="36"/>
      <c r="J767" s="36"/>
      <c r="K767" s="36"/>
      <c r="L767" s="36"/>
      <c r="M767" s="36"/>
    </row>
    <row r="768" customFormat="false" ht="12.8" hidden="false" customHeight="false" outlineLevel="0" collapsed="false">
      <c r="A768" s="44" t="n">
        <v>8</v>
      </c>
      <c r="B768" s="44" t="s">
        <v>252</v>
      </c>
      <c r="C768" s="44" t="s">
        <v>158</v>
      </c>
      <c r="D768" s="45" t="str">
        <f aca="true">OFFSET(plates!$B$75,CODE(LEFT(B768,1))-64,-1)&amp;"-"&amp;OFFSET(plates!$B$55,-1,MID(B768,2,3)+0)</f>
        <v>bc321-bc397</v>
      </c>
      <c r="E768" s="46" t="str">
        <f aca="true">OFFSET(plates!$B$75,CODE(LEFT(B768,1))-64,MID(B768,2,3)+0)&amp;""</f>
        <v/>
      </c>
      <c r="F768" s="46"/>
      <c r="G768" s="47"/>
      <c r="H768" s="47"/>
    </row>
    <row r="769" customFormat="false" ht="12.8" hidden="false" customHeight="false" outlineLevel="0" collapsed="false">
      <c r="A769" s="44" t="n">
        <v>8</v>
      </c>
      <c r="B769" s="44" t="s">
        <v>253</v>
      </c>
      <c r="C769" s="44" t="s">
        <v>158</v>
      </c>
      <c r="D769" s="45" t="str">
        <f aca="true">OFFSET(plates!$B$75,CODE(LEFT(B769,1))-64,-1)&amp;"-"&amp;OFFSET(plates!$B$55,-1,MID(B769,2,3)+0)</f>
        <v>bc324-bc397</v>
      </c>
      <c r="E769" s="46" t="str">
        <f aca="true">OFFSET(plates!$B$75,CODE(LEFT(B769,1))-64,MID(B769,2,3)+0)&amp;""</f>
        <v/>
      </c>
      <c r="F769" s="46"/>
      <c r="G769" s="47"/>
      <c r="H769" s="47"/>
      <c r="I769" s="36"/>
      <c r="J769" s="36"/>
      <c r="K769" s="36"/>
    </row>
    <row r="770" customFormat="false" ht="12.8" hidden="false" customHeight="false" outlineLevel="0" collapsed="false">
      <c r="A770" s="44" t="n">
        <v>9</v>
      </c>
      <c r="B770" s="44" t="s">
        <v>157</v>
      </c>
      <c r="C770" s="44" t="s">
        <v>158</v>
      </c>
      <c r="D770" s="45" t="str">
        <f aca="true">OFFSET(plates!$B$85,CODE(LEFT(B770,1))-64,-1)&amp;"-"&amp;OFFSET(plates!$B$55,-1,MID(B770,2,3)+0)</f>
        <v>bc327-bc247</v>
      </c>
      <c r="E770" s="46" t="str">
        <f aca="true">OFFSET(plates!$B$85,CODE(LEFT(B770,1))-64,MID(B770,2,3)+0)&amp;""</f>
        <v/>
      </c>
      <c r="F770" s="46"/>
      <c r="G770" s="47"/>
      <c r="H770" s="47"/>
    </row>
    <row r="771" customFormat="false" ht="12.8" hidden="false" customHeight="false" outlineLevel="0" collapsed="false">
      <c r="A771" s="44" t="n">
        <v>9</v>
      </c>
      <c r="B771" s="44" t="s">
        <v>159</v>
      </c>
      <c r="C771" s="44" t="s">
        <v>158</v>
      </c>
      <c r="D771" s="45" t="str">
        <f aca="true">OFFSET(plates!$B$85,CODE(LEFT(B771,1))-64,-1)&amp;"-"&amp;OFFSET(plates!$B$55,-1,MID(B771,2,3)+0)</f>
        <v>bc357-bc247</v>
      </c>
      <c r="E771" s="46" t="str">
        <f aca="true">OFFSET(plates!$B$85,CODE(LEFT(B771,1))-64,MID(B771,2,3)+0)&amp;""</f>
        <v/>
      </c>
      <c r="F771" s="46"/>
      <c r="G771" s="47"/>
      <c r="H771" s="47"/>
    </row>
    <row r="772" customFormat="false" ht="12.8" hidden="false" customHeight="false" outlineLevel="0" collapsed="false">
      <c r="A772" s="44" t="n">
        <v>9</v>
      </c>
      <c r="B772" s="44" t="s">
        <v>160</v>
      </c>
      <c r="C772" s="44" t="s">
        <v>158</v>
      </c>
      <c r="D772" s="45" t="str">
        <f aca="true">OFFSET(plates!$B$85,CODE(LEFT(B772,1))-64,-1)&amp;"-"&amp;OFFSET(plates!$B$55,-1,MID(B772,2,3)+0)</f>
        <v>bc361-bc247</v>
      </c>
      <c r="E772" s="46" t="str">
        <f aca="true">OFFSET(plates!$B$85,CODE(LEFT(B772,1))-64,MID(B772,2,3)+0)&amp;""</f>
        <v/>
      </c>
      <c r="F772" s="46"/>
      <c r="G772" s="47"/>
      <c r="H772" s="47"/>
    </row>
    <row r="773" customFormat="false" ht="12.8" hidden="false" customHeight="false" outlineLevel="0" collapsed="false">
      <c r="A773" s="44" t="n">
        <v>9</v>
      </c>
      <c r="B773" s="44" t="s">
        <v>161</v>
      </c>
      <c r="C773" s="44" t="s">
        <v>158</v>
      </c>
      <c r="D773" s="45" t="str">
        <f aca="true">OFFSET(plates!$B$85,CODE(LEFT(B773,1))-64,-1)&amp;"-"&amp;OFFSET(plates!$B$55,-1,MID(B773,2,3)+0)</f>
        <v>bc362-bc247</v>
      </c>
      <c r="E773" s="46" t="str">
        <f aca="true">OFFSET(plates!$B$85,CODE(LEFT(B773,1))-64,MID(B773,2,3)+0)&amp;""</f>
        <v/>
      </c>
      <c r="F773" s="46"/>
      <c r="G773" s="47"/>
      <c r="H773" s="47"/>
    </row>
    <row r="774" customFormat="false" ht="12.8" hidden="false" customHeight="false" outlineLevel="0" collapsed="false">
      <c r="A774" s="44" t="n">
        <v>9</v>
      </c>
      <c r="B774" s="44" t="s">
        <v>162</v>
      </c>
      <c r="C774" s="44" t="s">
        <v>158</v>
      </c>
      <c r="D774" s="45" t="str">
        <f aca="true">OFFSET(plates!$B$85,CODE(LEFT(B774,1))-64,-1)&amp;"-"&amp;OFFSET(plates!$B$55,-1,MID(B774,2,3)+0)</f>
        <v>bc368-bc247</v>
      </c>
      <c r="E774" s="46" t="str">
        <f aca="true">OFFSET(plates!$B$85,CODE(LEFT(B774,1))-64,MID(B774,2,3)+0)&amp;""</f>
        <v/>
      </c>
      <c r="F774" s="46"/>
      <c r="G774" s="47"/>
      <c r="H774" s="47"/>
    </row>
    <row r="775" customFormat="false" ht="12.8" hidden="false" customHeight="false" outlineLevel="0" collapsed="false">
      <c r="A775" s="44" t="n">
        <v>9</v>
      </c>
      <c r="B775" s="44" t="s">
        <v>163</v>
      </c>
      <c r="C775" s="44" t="s">
        <v>158</v>
      </c>
      <c r="D775" s="45" t="str">
        <f aca="true">OFFSET(plates!$B$85,CODE(LEFT(B775,1))-64,-1)&amp;"-"&amp;OFFSET(plates!$B$55,-1,MID(B775,2,3)+0)</f>
        <v>bc370-bc247</v>
      </c>
      <c r="E775" s="46" t="str">
        <f aca="true">OFFSET(plates!$B$85,CODE(LEFT(B775,1))-64,MID(B775,2,3)+0)&amp;""</f>
        <v/>
      </c>
      <c r="F775" s="46"/>
      <c r="G775" s="47"/>
      <c r="H775" s="47"/>
    </row>
    <row r="776" customFormat="false" ht="12.8" hidden="false" customHeight="false" outlineLevel="0" collapsed="false">
      <c r="A776" s="44" t="n">
        <v>9</v>
      </c>
      <c r="B776" s="44" t="s">
        <v>164</v>
      </c>
      <c r="C776" s="44" t="s">
        <v>158</v>
      </c>
      <c r="D776" s="45" t="str">
        <f aca="true">OFFSET(plates!$B$85,CODE(LEFT(B776,1))-64,-1)&amp;"-"&amp;OFFSET(plates!$B$55,-1,MID(B776,2,3)+0)</f>
        <v>bc377-bc247</v>
      </c>
      <c r="E776" s="46" t="str">
        <f aca="true">OFFSET(plates!$B$85,CODE(LEFT(B776,1))-64,MID(B776,2,3)+0)&amp;""</f>
        <v/>
      </c>
      <c r="F776" s="46"/>
      <c r="G776" s="47"/>
      <c r="H776" s="47"/>
    </row>
    <row r="777" customFormat="false" ht="12.8" hidden="false" customHeight="false" outlineLevel="0" collapsed="false">
      <c r="A777" s="44" t="n">
        <v>9</v>
      </c>
      <c r="B777" s="44" t="s">
        <v>165</v>
      </c>
      <c r="C777" s="44" t="s">
        <v>158</v>
      </c>
      <c r="D777" s="45" t="str">
        <f aca="true">OFFSET(plates!$B$85,CODE(LEFT(B777,1))-64,-1)&amp;"-"&amp;OFFSET(plates!$B$55,-1,MID(B777,2,3)+0)</f>
        <v>bc406-bc247</v>
      </c>
      <c r="E777" s="46" t="str">
        <f aca="true">OFFSET(plates!$B$85,CODE(LEFT(B777,1))-64,MID(B777,2,3)+0)&amp;""</f>
        <v/>
      </c>
      <c r="F777" s="46"/>
      <c r="G777" s="47"/>
      <c r="H777" s="47"/>
    </row>
    <row r="778" customFormat="false" ht="12.8" hidden="false" customHeight="false" outlineLevel="0" collapsed="false">
      <c r="A778" s="44" t="n">
        <v>9</v>
      </c>
      <c r="B778" s="44" t="s">
        <v>166</v>
      </c>
      <c r="C778" s="44" t="s">
        <v>158</v>
      </c>
      <c r="D778" s="45" t="str">
        <f aca="true">OFFSET(plates!$B$85,CODE(LEFT(B778,1))-64,-1)&amp;"-"&amp;OFFSET(plates!$B$55,-1,MID(B778,2,3)+0)</f>
        <v>bc327-bc286</v>
      </c>
      <c r="E778" s="46" t="str">
        <f aca="true">OFFSET(plates!$B$85,CODE(LEFT(B778,1))-64,MID(B778,2,3)+0)&amp;""</f>
        <v/>
      </c>
      <c r="F778" s="46"/>
      <c r="G778" s="47"/>
      <c r="H778" s="47"/>
    </row>
    <row r="779" customFormat="false" ht="12.8" hidden="false" customHeight="false" outlineLevel="0" collapsed="false">
      <c r="A779" s="44" t="n">
        <v>9</v>
      </c>
      <c r="B779" s="44" t="s">
        <v>167</v>
      </c>
      <c r="C779" s="44" t="s">
        <v>158</v>
      </c>
      <c r="D779" s="45" t="str">
        <f aca="true">OFFSET(plates!$B$85,CODE(LEFT(B779,1))-64,-1)&amp;"-"&amp;OFFSET(plates!$B$55,-1,MID(B779,2,3)+0)</f>
        <v>bc357-bc286</v>
      </c>
      <c r="E779" s="46" t="str">
        <f aca="true">OFFSET(plates!$B$85,CODE(LEFT(B779,1))-64,MID(B779,2,3)+0)&amp;""</f>
        <v/>
      </c>
      <c r="F779" s="46"/>
      <c r="G779" s="47"/>
      <c r="H779" s="47"/>
    </row>
    <row r="780" customFormat="false" ht="12.8" hidden="false" customHeight="false" outlineLevel="0" collapsed="false">
      <c r="A780" s="44" t="n">
        <v>9</v>
      </c>
      <c r="B780" s="44" t="s">
        <v>168</v>
      </c>
      <c r="C780" s="44" t="s">
        <v>158</v>
      </c>
      <c r="D780" s="45" t="str">
        <f aca="true">OFFSET(plates!$B$85,CODE(LEFT(B780,1))-64,-1)&amp;"-"&amp;OFFSET(plates!$B$55,-1,MID(B780,2,3)+0)</f>
        <v>bc361-bc286</v>
      </c>
      <c r="E780" s="46" t="str">
        <f aca="true">OFFSET(plates!$B$85,CODE(LEFT(B780,1))-64,MID(B780,2,3)+0)&amp;""</f>
        <v/>
      </c>
      <c r="F780" s="46"/>
      <c r="G780" s="47"/>
      <c r="H780" s="47"/>
    </row>
    <row r="781" customFormat="false" ht="12.8" hidden="false" customHeight="false" outlineLevel="0" collapsed="false">
      <c r="A781" s="44" t="n">
        <v>9</v>
      </c>
      <c r="B781" s="44" t="s">
        <v>169</v>
      </c>
      <c r="C781" s="44" t="s">
        <v>158</v>
      </c>
      <c r="D781" s="45" t="str">
        <f aca="true">OFFSET(plates!$B$85,CODE(LEFT(B781,1))-64,-1)&amp;"-"&amp;OFFSET(plates!$B$55,-1,MID(B781,2,3)+0)</f>
        <v>bc362-bc286</v>
      </c>
      <c r="E781" s="46" t="str">
        <f aca="true">OFFSET(plates!$B$85,CODE(LEFT(B781,1))-64,MID(B781,2,3)+0)&amp;""</f>
        <v/>
      </c>
      <c r="F781" s="46"/>
      <c r="G781" s="47"/>
      <c r="H781" s="47"/>
    </row>
    <row r="782" customFormat="false" ht="12.8" hidden="false" customHeight="false" outlineLevel="0" collapsed="false">
      <c r="A782" s="44" t="n">
        <v>9</v>
      </c>
      <c r="B782" s="44" t="s">
        <v>170</v>
      </c>
      <c r="C782" s="44" t="s">
        <v>158</v>
      </c>
      <c r="D782" s="45" t="str">
        <f aca="true">OFFSET(plates!$B$85,CODE(LEFT(B782,1))-64,-1)&amp;"-"&amp;OFFSET(plates!$B$55,-1,MID(B782,2,3)+0)</f>
        <v>bc368-bc286</v>
      </c>
      <c r="E782" s="46" t="str">
        <f aca="true">OFFSET(plates!$B$85,CODE(LEFT(B782,1))-64,MID(B782,2,3)+0)&amp;""</f>
        <v/>
      </c>
      <c r="F782" s="46"/>
      <c r="G782" s="47"/>
      <c r="H782" s="47"/>
    </row>
    <row r="783" customFormat="false" ht="12.8" hidden="false" customHeight="false" outlineLevel="0" collapsed="false">
      <c r="A783" s="44" t="n">
        <v>9</v>
      </c>
      <c r="B783" s="44" t="s">
        <v>171</v>
      </c>
      <c r="C783" s="44" t="s">
        <v>158</v>
      </c>
      <c r="D783" s="45" t="str">
        <f aca="true">OFFSET(plates!$B$85,CODE(LEFT(B783,1))-64,-1)&amp;"-"&amp;OFFSET(plates!$B$55,-1,MID(B783,2,3)+0)</f>
        <v>bc370-bc286</v>
      </c>
      <c r="E783" s="46" t="str">
        <f aca="true">OFFSET(plates!$B$85,CODE(LEFT(B783,1))-64,MID(B783,2,3)+0)&amp;""</f>
        <v/>
      </c>
      <c r="F783" s="46"/>
      <c r="G783" s="47"/>
      <c r="H783" s="47"/>
    </row>
    <row r="784" customFormat="false" ht="12.8" hidden="false" customHeight="false" outlineLevel="0" collapsed="false">
      <c r="A784" s="44" t="n">
        <v>9</v>
      </c>
      <c r="B784" s="44" t="s">
        <v>172</v>
      </c>
      <c r="C784" s="44" t="s">
        <v>158</v>
      </c>
      <c r="D784" s="45" t="str">
        <f aca="true">OFFSET(plates!$B$85,CODE(LEFT(B784,1))-64,-1)&amp;"-"&amp;OFFSET(plates!$B$55,-1,MID(B784,2,3)+0)</f>
        <v>bc377-bc286</v>
      </c>
      <c r="E784" s="46" t="str">
        <f aca="true">OFFSET(plates!$B$85,CODE(LEFT(B784,1))-64,MID(B784,2,3)+0)&amp;""</f>
        <v/>
      </c>
      <c r="F784" s="46"/>
      <c r="G784" s="47"/>
      <c r="H784" s="47"/>
    </row>
    <row r="785" customFormat="false" ht="12.8" hidden="false" customHeight="false" outlineLevel="0" collapsed="false">
      <c r="A785" s="44" t="n">
        <v>9</v>
      </c>
      <c r="B785" s="44" t="s">
        <v>173</v>
      </c>
      <c r="C785" s="44" t="s">
        <v>158</v>
      </c>
      <c r="D785" s="45" t="str">
        <f aca="true">OFFSET(plates!$B$85,CODE(LEFT(B785,1))-64,-1)&amp;"-"&amp;OFFSET(plates!$B$55,-1,MID(B785,2,3)+0)</f>
        <v>bc406-bc286</v>
      </c>
      <c r="E785" s="46" t="str">
        <f aca="true">OFFSET(plates!$B$85,CODE(LEFT(B785,1))-64,MID(B785,2,3)+0)&amp;""</f>
        <v/>
      </c>
      <c r="F785" s="46"/>
      <c r="G785" s="47"/>
      <c r="H785" s="47"/>
    </row>
    <row r="786" customFormat="false" ht="12.8" hidden="false" customHeight="false" outlineLevel="0" collapsed="false">
      <c r="A786" s="44" t="n">
        <v>9</v>
      </c>
      <c r="B786" s="44" t="s">
        <v>174</v>
      </c>
      <c r="C786" s="44" t="s">
        <v>158</v>
      </c>
      <c r="D786" s="45" t="str">
        <f aca="true">OFFSET(plates!$B$85,CODE(LEFT(B786,1))-64,-1)&amp;"-"&amp;OFFSET(plates!$B$55,-1,MID(B786,2,3)+0)</f>
        <v>bc327-bc298</v>
      </c>
      <c r="E786" s="46" t="str">
        <f aca="true">OFFSET(plates!$B$85,CODE(LEFT(B786,1))-64,MID(B786,2,3)+0)&amp;""</f>
        <v/>
      </c>
      <c r="F786" s="46"/>
      <c r="G786" s="47"/>
      <c r="H786" s="47"/>
    </row>
    <row r="787" customFormat="false" ht="12.8" hidden="false" customHeight="false" outlineLevel="0" collapsed="false">
      <c r="A787" s="44" t="n">
        <v>9</v>
      </c>
      <c r="B787" s="44" t="s">
        <v>175</v>
      </c>
      <c r="C787" s="44" t="s">
        <v>158</v>
      </c>
      <c r="D787" s="45" t="str">
        <f aca="true">OFFSET(plates!$B$85,CODE(LEFT(B787,1))-64,-1)&amp;"-"&amp;OFFSET(plates!$B$55,-1,MID(B787,2,3)+0)</f>
        <v>bc357-bc298</v>
      </c>
      <c r="E787" s="46" t="str">
        <f aca="true">OFFSET(plates!$B$85,CODE(LEFT(B787,1))-64,MID(B787,2,3)+0)&amp;""</f>
        <v/>
      </c>
      <c r="F787" s="46"/>
      <c r="G787" s="47"/>
      <c r="H787" s="47"/>
    </row>
    <row r="788" customFormat="false" ht="12.8" hidden="false" customHeight="false" outlineLevel="0" collapsed="false">
      <c r="A788" s="44" t="n">
        <v>9</v>
      </c>
      <c r="B788" s="44" t="s">
        <v>176</v>
      </c>
      <c r="C788" s="44" t="s">
        <v>158</v>
      </c>
      <c r="D788" s="45" t="str">
        <f aca="true">OFFSET(plates!$B$85,CODE(LEFT(B788,1))-64,-1)&amp;"-"&amp;OFFSET(plates!$B$55,-1,MID(B788,2,3)+0)</f>
        <v>bc361-bc298</v>
      </c>
      <c r="E788" s="46" t="str">
        <f aca="true">OFFSET(plates!$B$85,CODE(LEFT(B788,1))-64,MID(B788,2,3)+0)&amp;""</f>
        <v/>
      </c>
      <c r="F788" s="46"/>
      <c r="G788" s="47"/>
      <c r="H788" s="47"/>
    </row>
    <row r="789" customFormat="false" ht="12.8" hidden="false" customHeight="false" outlineLevel="0" collapsed="false">
      <c r="A789" s="44" t="n">
        <v>9</v>
      </c>
      <c r="B789" s="44" t="s">
        <v>177</v>
      </c>
      <c r="C789" s="44" t="s">
        <v>158</v>
      </c>
      <c r="D789" s="45" t="str">
        <f aca="true">OFFSET(plates!$B$85,CODE(LEFT(B789,1))-64,-1)&amp;"-"&amp;OFFSET(plates!$B$55,-1,MID(B789,2,3)+0)</f>
        <v>bc362-bc298</v>
      </c>
      <c r="E789" s="46" t="str">
        <f aca="true">OFFSET(plates!$B$85,CODE(LEFT(B789,1))-64,MID(B789,2,3)+0)&amp;""</f>
        <v/>
      </c>
      <c r="F789" s="46"/>
      <c r="G789" s="47"/>
      <c r="H789" s="47"/>
    </row>
    <row r="790" customFormat="false" ht="12.8" hidden="false" customHeight="false" outlineLevel="0" collapsed="false">
      <c r="A790" s="44" t="n">
        <v>9</v>
      </c>
      <c r="B790" s="44" t="s">
        <v>178</v>
      </c>
      <c r="C790" s="44" t="s">
        <v>158</v>
      </c>
      <c r="D790" s="45" t="str">
        <f aca="true">OFFSET(plates!$B$85,CODE(LEFT(B790,1))-64,-1)&amp;"-"&amp;OFFSET(plates!$B$55,-1,MID(B790,2,3)+0)</f>
        <v>bc368-bc298</v>
      </c>
      <c r="E790" s="46" t="str">
        <f aca="true">OFFSET(plates!$B$85,CODE(LEFT(B790,1))-64,MID(B790,2,3)+0)&amp;""</f>
        <v/>
      </c>
      <c r="F790" s="46"/>
      <c r="G790" s="47"/>
      <c r="H790" s="47"/>
    </row>
    <row r="791" customFormat="false" ht="12.8" hidden="false" customHeight="false" outlineLevel="0" collapsed="false">
      <c r="A791" s="44" t="n">
        <v>9</v>
      </c>
      <c r="B791" s="44" t="s">
        <v>179</v>
      </c>
      <c r="C791" s="44" t="s">
        <v>158</v>
      </c>
      <c r="D791" s="45" t="str">
        <f aca="true">OFFSET(plates!$B$85,CODE(LEFT(B791,1))-64,-1)&amp;"-"&amp;OFFSET(plates!$B$55,-1,MID(B791,2,3)+0)</f>
        <v>bc370-bc298</v>
      </c>
      <c r="E791" s="46" t="str">
        <f aca="true">OFFSET(plates!$B$85,CODE(LEFT(B791,1))-64,MID(B791,2,3)+0)&amp;""</f>
        <v/>
      </c>
      <c r="F791" s="46"/>
      <c r="G791" s="47"/>
      <c r="H791" s="47"/>
    </row>
    <row r="792" customFormat="false" ht="12.8" hidden="false" customHeight="false" outlineLevel="0" collapsed="false">
      <c r="A792" s="44" t="n">
        <v>9</v>
      </c>
      <c r="B792" s="44" t="s">
        <v>180</v>
      </c>
      <c r="C792" s="44" t="s">
        <v>158</v>
      </c>
      <c r="D792" s="45" t="str">
        <f aca="true">OFFSET(plates!$B$85,CODE(LEFT(B792,1))-64,-1)&amp;"-"&amp;OFFSET(plates!$B$55,-1,MID(B792,2,3)+0)</f>
        <v>bc377-bc298</v>
      </c>
      <c r="E792" s="46" t="str">
        <f aca="true">OFFSET(plates!$B$85,CODE(LEFT(B792,1))-64,MID(B792,2,3)+0)&amp;""</f>
        <v/>
      </c>
      <c r="F792" s="46"/>
      <c r="G792" s="47"/>
      <c r="H792" s="47"/>
    </row>
    <row r="793" customFormat="false" ht="12.8" hidden="false" customHeight="false" outlineLevel="0" collapsed="false">
      <c r="A793" s="44" t="n">
        <v>9</v>
      </c>
      <c r="B793" s="44" t="s">
        <v>181</v>
      </c>
      <c r="C793" s="44" t="s">
        <v>158</v>
      </c>
      <c r="D793" s="45" t="str">
        <f aca="true">OFFSET(plates!$B$85,CODE(LEFT(B793,1))-64,-1)&amp;"-"&amp;OFFSET(plates!$B$55,-1,MID(B793,2,3)+0)</f>
        <v>bc406-bc298</v>
      </c>
      <c r="E793" s="46" t="str">
        <f aca="true">OFFSET(plates!$B$85,CODE(LEFT(B793,1))-64,MID(B793,2,3)+0)&amp;""</f>
        <v/>
      </c>
      <c r="F793" s="46"/>
      <c r="G793" s="47"/>
      <c r="H793" s="47"/>
    </row>
    <row r="794" customFormat="false" ht="12.8" hidden="false" customHeight="false" outlineLevel="0" collapsed="false">
      <c r="A794" s="44" t="n">
        <v>9</v>
      </c>
      <c r="B794" s="44" t="s">
        <v>182</v>
      </c>
      <c r="C794" s="44" t="s">
        <v>158</v>
      </c>
      <c r="D794" s="45" t="str">
        <f aca="true">OFFSET(plates!$B$85,CODE(LEFT(B794,1))-64,-1)&amp;"-"&amp;OFFSET(plates!$B$55,-1,MID(B794,2,3)+0)</f>
        <v>bc327-bc310</v>
      </c>
      <c r="E794" s="46" t="str">
        <f aca="true">OFFSET(plates!$B$85,CODE(LEFT(B794,1))-64,MID(B794,2,3)+0)&amp;""</f>
        <v/>
      </c>
      <c r="F794" s="46"/>
      <c r="G794" s="47"/>
      <c r="H794" s="47"/>
    </row>
    <row r="795" customFormat="false" ht="12.8" hidden="false" customHeight="false" outlineLevel="0" collapsed="false">
      <c r="A795" s="44" t="n">
        <v>9</v>
      </c>
      <c r="B795" s="44" t="s">
        <v>183</v>
      </c>
      <c r="C795" s="44" t="s">
        <v>158</v>
      </c>
      <c r="D795" s="45" t="str">
        <f aca="true">OFFSET(plates!$B$85,CODE(LEFT(B795,1))-64,-1)&amp;"-"&amp;OFFSET(plates!$B$55,-1,MID(B795,2,3)+0)</f>
        <v>bc357-bc310</v>
      </c>
      <c r="E795" s="46" t="str">
        <f aca="true">OFFSET(plates!$B$85,CODE(LEFT(B795,1))-64,MID(B795,2,3)+0)&amp;""</f>
        <v/>
      </c>
      <c r="F795" s="46"/>
      <c r="G795" s="47"/>
      <c r="H795" s="47"/>
    </row>
    <row r="796" customFormat="false" ht="12.8" hidden="false" customHeight="false" outlineLevel="0" collapsed="false">
      <c r="A796" s="44" t="n">
        <v>9</v>
      </c>
      <c r="B796" s="44" t="s">
        <v>184</v>
      </c>
      <c r="C796" s="44" t="s">
        <v>158</v>
      </c>
      <c r="D796" s="45" t="str">
        <f aca="true">OFFSET(plates!$B$85,CODE(LEFT(B796,1))-64,-1)&amp;"-"&amp;OFFSET(plates!$B$55,-1,MID(B796,2,3)+0)</f>
        <v>bc361-bc310</v>
      </c>
      <c r="E796" s="46" t="str">
        <f aca="true">OFFSET(plates!$B$85,CODE(LEFT(B796,1))-64,MID(B796,2,3)+0)&amp;""</f>
        <v/>
      </c>
      <c r="F796" s="46"/>
      <c r="G796" s="47"/>
      <c r="H796" s="47"/>
    </row>
    <row r="797" customFormat="false" ht="12.8" hidden="false" customHeight="false" outlineLevel="0" collapsed="false">
      <c r="A797" s="44" t="n">
        <v>9</v>
      </c>
      <c r="B797" s="44" t="s">
        <v>185</v>
      </c>
      <c r="C797" s="44" t="s">
        <v>158</v>
      </c>
      <c r="D797" s="45" t="str">
        <f aca="true">OFFSET(plates!$B$85,CODE(LEFT(B797,1))-64,-1)&amp;"-"&amp;OFFSET(plates!$B$55,-1,MID(B797,2,3)+0)</f>
        <v>bc362-bc310</v>
      </c>
      <c r="E797" s="46" t="str">
        <f aca="true">OFFSET(plates!$B$85,CODE(LEFT(B797,1))-64,MID(B797,2,3)+0)&amp;""</f>
        <v/>
      </c>
      <c r="F797" s="46"/>
      <c r="G797" s="47"/>
      <c r="H797" s="47"/>
    </row>
    <row r="798" customFormat="false" ht="12.8" hidden="false" customHeight="false" outlineLevel="0" collapsed="false">
      <c r="A798" s="44" t="n">
        <v>9</v>
      </c>
      <c r="B798" s="44" t="s">
        <v>186</v>
      </c>
      <c r="C798" s="44" t="s">
        <v>158</v>
      </c>
      <c r="D798" s="45" t="str">
        <f aca="true">OFFSET(plates!$B$85,CODE(LEFT(B798,1))-64,-1)&amp;"-"&amp;OFFSET(plates!$B$55,-1,MID(B798,2,3)+0)</f>
        <v>bc368-bc310</v>
      </c>
      <c r="E798" s="46" t="str">
        <f aca="true">OFFSET(plates!$B$85,CODE(LEFT(B798,1))-64,MID(B798,2,3)+0)&amp;""</f>
        <v/>
      </c>
      <c r="F798" s="46"/>
      <c r="G798" s="47"/>
      <c r="H798" s="47"/>
    </row>
    <row r="799" customFormat="false" ht="12.8" hidden="false" customHeight="false" outlineLevel="0" collapsed="false">
      <c r="A799" s="44" t="n">
        <v>9</v>
      </c>
      <c r="B799" s="44" t="s">
        <v>187</v>
      </c>
      <c r="C799" s="44" t="s">
        <v>158</v>
      </c>
      <c r="D799" s="45" t="str">
        <f aca="true">OFFSET(plates!$B$85,CODE(LEFT(B799,1))-64,-1)&amp;"-"&amp;OFFSET(plates!$B$55,-1,MID(B799,2,3)+0)</f>
        <v>bc370-bc310</v>
      </c>
      <c r="E799" s="46" t="str">
        <f aca="true">OFFSET(plates!$B$85,CODE(LEFT(B799,1))-64,MID(B799,2,3)+0)&amp;""</f>
        <v/>
      </c>
      <c r="F799" s="46"/>
      <c r="G799" s="47"/>
      <c r="H799" s="47"/>
    </row>
    <row r="800" customFormat="false" ht="12.8" hidden="false" customHeight="false" outlineLevel="0" collapsed="false">
      <c r="A800" s="44" t="n">
        <v>9</v>
      </c>
      <c r="B800" s="44" t="s">
        <v>188</v>
      </c>
      <c r="C800" s="44" t="s">
        <v>158</v>
      </c>
      <c r="D800" s="45" t="str">
        <f aca="true">OFFSET(plates!$B$85,CODE(LEFT(B800,1))-64,-1)&amp;"-"&amp;OFFSET(plates!$B$55,-1,MID(B800,2,3)+0)</f>
        <v>bc377-bc310</v>
      </c>
      <c r="E800" s="46" t="str">
        <f aca="true">OFFSET(plates!$B$85,CODE(LEFT(B800,1))-64,MID(B800,2,3)+0)&amp;""</f>
        <v/>
      </c>
      <c r="F800" s="46"/>
      <c r="G800" s="47"/>
      <c r="H800" s="47"/>
    </row>
    <row r="801" customFormat="false" ht="12.8" hidden="false" customHeight="false" outlineLevel="0" collapsed="false">
      <c r="A801" s="44" t="n">
        <v>9</v>
      </c>
      <c r="B801" s="44" t="s">
        <v>189</v>
      </c>
      <c r="C801" s="44" t="s">
        <v>158</v>
      </c>
      <c r="D801" s="45" t="str">
        <f aca="true">OFFSET(plates!$B$85,CODE(LEFT(B801,1))-64,-1)&amp;"-"&amp;OFFSET(plates!$B$55,-1,MID(B801,2,3)+0)</f>
        <v>bc406-bc310</v>
      </c>
      <c r="E801" s="46" t="str">
        <f aca="true">OFFSET(plates!$B$85,CODE(LEFT(B801,1))-64,MID(B801,2,3)+0)&amp;""</f>
        <v/>
      </c>
      <c r="F801" s="46"/>
      <c r="G801" s="47"/>
      <c r="H801" s="47"/>
    </row>
    <row r="802" customFormat="false" ht="12.8" hidden="false" customHeight="false" outlineLevel="0" collapsed="false">
      <c r="A802" s="44" t="n">
        <v>9</v>
      </c>
      <c r="B802" s="44" t="s">
        <v>190</v>
      </c>
      <c r="C802" s="44" t="s">
        <v>158</v>
      </c>
      <c r="D802" s="45" t="str">
        <f aca="true">OFFSET(plates!$B$85,CODE(LEFT(B802,1))-64,-1)&amp;"-"&amp;OFFSET(plates!$B$55,-1,MID(B802,2,3)+0)</f>
        <v>bc327-bc314</v>
      </c>
      <c r="E802" s="46" t="str">
        <f aca="true">OFFSET(plates!$B$85,CODE(LEFT(B802,1))-64,MID(B802,2,3)+0)&amp;""</f>
        <v/>
      </c>
      <c r="F802" s="46"/>
      <c r="G802" s="47"/>
      <c r="H802" s="47"/>
    </row>
    <row r="803" customFormat="false" ht="12.8" hidden="false" customHeight="false" outlineLevel="0" collapsed="false">
      <c r="A803" s="44" t="n">
        <v>9</v>
      </c>
      <c r="B803" s="44" t="s">
        <v>191</v>
      </c>
      <c r="C803" s="44" t="s">
        <v>158</v>
      </c>
      <c r="D803" s="45" t="str">
        <f aca="true">OFFSET(plates!$B$85,CODE(LEFT(B803,1))-64,-1)&amp;"-"&amp;OFFSET(plates!$B$55,-1,MID(B803,2,3)+0)</f>
        <v>bc357-bc314</v>
      </c>
      <c r="E803" s="46" t="str">
        <f aca="true">OFFSET(plates!$B$85,CODE(LEFT(B803,1))-64,MID(B803,2,3)+0)&amp;""</f>
        <v/>
      </c>
      <c r="F803" s="46"/>
      <c r="G803" s="47"/>
      <c r="H803" s="47"/>
    </row>
    <row r="804" customFormat="false" ht="12.8" hidden="false" customHeight="false" outlineLevel="0" collapsed="false">
      <c r="A804" s="44" t="n">
        <v>9</v>
      </c>
      <c r="B804" s="44" t="s">
        <v>192</v>
      </c>
      <c r="C804" s="44" t="s">
        <v>158</v>
      </c>
      <c r="D804" s="45" t="str">
        <f aca="true">OFFSET(plates!$B$85,CODE(LEFT(B804,1))-64,-1)&amp;"-"&amp;OFFSET(plates!$B$55,-1,MID(B804,2,3)+0)</f>
        <v>bc361-bc314</v>
      </c>
      <c r="E804" s="46" t="str">
        <f aca="true">OFFSET(plates!$B$85,CODE(LEFT(B804,1))-64,MID(B804,2,3)+0)&amp;""</f>
        <v/>
      </c>
      <c r="F804" s="46"/>
      <c r="G804" s="47"/>
      <c r="H804" s="47"/>
    </row>
    <row r="805" customFormat="false" ht="12.8" hidden="false" customHeight="false" outlineLevel="0" collapsed="false">
      <c r="A805" s="44" t="n">
        <v>9</v>
      </c>
      <c r="B805" s="44" t="s">
        <v>193</v>
      </c>
      <c r="C805" s="44" t="s">
        <v>158</v>
      </c>
      <c r="D805" s="45" t="str">
        <f aca="true">OFFSET(plates!$B$85,CODE(LEFT(B805,1))-64,-1)&amp;"-"&amp;OFFSET(plates!$B$55,-1,MID(B805,2,3)+0)</f>
        <v>bc362-bc314</v>
      </c>
      <c r="E805" s="46" t="str">
        <f aca="true">OFFSET(plates!$B$85,CODE(LEFT(B805,1))-64,MID(B805,2,3)+0)&amp;""</f>
        <v/>
      </c>
      <c r="F805" s="46"/>
      <c r="G805" s="47"/>
      <c r="H805" s="47"/>
    </row>
    <row r="806" customFormat="false" ht="12.8" hidden="false" customHeight="false" outlineLevel="0" collapsed="false">
      <c r="A806" s="44" t="n">
        <v>9</v>
      </c>
      <c r="B806" s="44" t="s">
        <v>194</v>
      </c>
      <c r="C806" s="44" t="s">
        <v>158</v>
      </c>
      <c r="D806" s="45" t="str">
        <f aca="true">OFFSET(plates!$B$85,CODE(LEFT(B806,1))-64,-1)&amp;"-"&amp;OFFSET(plates!$B$55,-1,MID(B806,2,3)+0)</f>
        <v>bc368-bc314</v>
      </c>
      <c r="E806" s="46" t="str">
        <f aca="true">OFFSET(plates!$B$85,CODE(LEFT(B806,1))-64,MID(B806,2,3)+0)&amp;""</f>
        <v/>
      </c>
      <c r="F806" s="46"/>
      <c r="G806" s="47"/>
      <c r="H806" s="47"/>
    </row>
    <row r="807" customFormat="false" ht="12.8" hidden="false" customHeight="false" outlineLevel="0" collapsed="false">
      <c r="A807" s="44" t="n">
        <v>9</v>
      </c>
      <c r="B807" s="44" t="s">
        <v>195</v>
      </c>
      <c r="C807" s="44" t="s">
        <v>158</v>
      </c>
      <c r="D807" s="45" t="str">
        <f aca="true">OFFSET(plates!$B$85,CODE(LEFT(B807,1))-64,-1)&amp;"-"&amp;OFFSET(plates!$B$55,-1,MID(B807,2,3)+0)</f>
        <v>bc370-bc314</v>
      </c>
      <c r="E807" s="46" t="str">
        <f aca="true">OFFSET(plates!$B$85,CODE(LEFT(B807,1))-64,MID(B807,2,3)+0)&amp;""</f>
        <v/>
      </c>
      <c r="F807" s="46"/>
      <c r="G807" s="47"/>
      <c r="H807" s="47"/>
    </row>
    <row r="808" customFormat="false" ht="12.8" hidden="false" customHeight="false" outlineLevel="0" collapsed="false">
      <c r="A808" s="44" t="n">
        <v>9</v>
      </c>
      <c r="B808" s="44" t="s">
        <v>196</v>
      </c>
      <c r="C808" s="44" t="s">
        <v>158</v>
      </c>
      <c r="D808" s="45" t="str">
        <f aca="true">OFFSET(plates!$B$85,CODE(LEFT(B808,1))-64,-1)&amp;"-"&amp;OFFSET(plates!$B$55,-1,MID(B808,2,3)+0)</f>
        <v>bc377-bc314</v>
      </c>
      <c r="E808" s="46" t="str">
        <f aca="true">OFFSET(plates!$B$85,CODE(LEFT(B808,1))-64,MID(B808,2,3)+0)&amp;""</f>
        <v/>
      </c>
      <c r="F808" s="46"/>
      <c r="G808" s="47"/>
      <c r="H808" s="47"/>
    </row>
    <row r="809" customFormat="false" ht="12.8" hidden="false" customHeight="false" outlineLevel="0" collapsed="false">
      <c r="A809" s="44" t="n">
        <v>9</v>
      </c>
      <c r="B809" s="44" t="s">
        <v>197</v>
      </c>
      <c r="C809" s="44" t="s">
        <v>158</v>
      </c>
      <c r="D809" s="45" t="str">
        <f aca="true">OFFSET(plates!$B$85,CODE(LEFT(B809,1))-64,-1)&amp;"-"&amp;OFFSET(plates!$B$55,-1,MID(B809,2,3)+0)</f>
        <v>bc406-bc314</v>
      </c>
      <c r="E809" s="46" t="str">
        <f aca="true">OFFSET(plates!$B$85,CODE(LEFT(B809,1))-64,MID(B809,2,3)+0)&amp;""</f>
        <v/>
      </c>
      <c r="F809" s="46"/>
      <c r="G809" s="47"/>
      <c r="H809" s="47"/>
    </row>
    <row r="810" customFormat="false" ht="12.8" hidden="false" customHeight="false" outlineLevel="0" collapsed="false">
      <c r="A810" s="44" t="n">
        <v>9</v>
      </c>
      <c r="B810" s="44" t="s">
        <v>198</v>
      </c>
      <c r="C810" s="44" t="s">
        <v>158</v>
      </c>
      <c r="D810" s="45" t="str">
        <f aca="true">OFFSET(plates!$B$85,CODE(LEFT(B810,1))-64,-1)&amp;"-"&amp;OFFSET(plates!$B$55,-1,MID(B810,2,3)+0)</f>
        <v>bc327-bc336</v>
      </c>
      <c r="E810" s="46" t="str">
        <f aca="true">OFFSET(plates!$B$85,CODE(LEFT(B810,1))-64,MID(B810,2,3)+0)&amp;""</f>
        <v/>
      </c>
      <c r="F810" s="46"/>
      <c r="G810" s="47"/>
      <c r="H810" s="47"/>
    </row>
    <row r="811" customFormat="false" ht="12.8" hidden="false" customHeight="false" outlineLevel="0" collapsed="false">
      <c r="A811" s="44" t="n">
        <v>9</v>
      </c>
      <c r="B811" s="44" t="s">
        <v>199</v>
      </c>
      <c r="C811" s="44" t="s">
        <v>158</v>
      </c>
      <c r="D811" s="45" t="str">
        <f aca="true">OFFSET(plates!$B$85,CODE(LEFT(B811,1))-64,-1)&amp;"-"&amp;OFFSET(plates!$B$55,-1,MID(B811,2,3)+0)</f>
        <v>bc357-bc336</v>
      </c>
      <c r="E811" s="46" t="str">
        <f aca="true">OFFSET(plates!$B$85,CODE(LEFT(B811,1))-64,MID(B811,2,3)+0)&amp;""</f>
        <v/>
      </c>
      <c r="F811" s="46"/>
      <c r="G811" s="47"/>
      <c r="H811" s="47"/>
    </row>
    <row r="812" customFormat="false" ht="12.8" hidden="false" customHeight="false" outlineLevel="0" collapsed="false">
      <c r="A812" s="44" t="n">
        <v>9</v>
      </c>
      <c r="B812" s="44" t="s">
        <v>200</v>
      </c>
      <c r="C812" s="44" t="s">
        <v>158</v>
      </c>
      <c r="D812" s="45" t="str">
        <f aca="true">OFFSET(plates!$B$85,CODE(LEFT(B812,1))-64,-1)&amp;"-"&amp;OFFSET(plates!$B$55,-1,MID(B812,2,3)+0)</f>
        <v>bc361-bc336</v>
      </c>
      <c r="E812" s="46" t="str">
        <f aca="true">OFFSET(plates!$B$85,CODE(LEFT(B812,1))-64,MID(B812,2,3)+0)&amp;""</f>
        <v/>
      </c>
      <c r="F812" s="46"/>
      <c r="G812" s="47"/>
      <c r="H812" s="47"/>
    </row>
    <row r="813" customFormat="false" ht="12.8" hidden="false" customHeight="false" outlineLevel="0" collapsed="false">
      <c r="A813" s="44" t="n">
        <v>9</v>
      </c>
      <c r="B813" s="44" t="s">
        <v>201</v>
      </c>
      <c r="C813" s="44" t="s">
        <v>158</v>
      </c>
      <c r="D813" s="45" t="str">
        <f aca="true">OFFSET(plates!$B$85,CODE(LEFT(B813,1))-64,-1)&amp;"-"&amp;OFFSET(plates!$B$55,-1,MID(B813,2,3)+0)</f>
        <v>bc362-bc336</v>
      </c>
      <c r="E813" s="46" t="str">
        <f aca="true">OFFSET(plates!$B$85,CODE(LEFT(B813,1))-64,MID(B813,2,3)+0)&amp;""</f>
        <v/>
      </c>
      <c r="F813" s="46"/>
      <c r="G813" s="47"/>
      <c r="H813" s="47"/>
    </row>
    <row r="814" customFormat="false" ht="12.8" hidden="false" customHeight="false" outlineLevel="0" collapsed="false">
      <c r="A814" s="44" t="n">
        <v>9</v>
      </c>
      <c r="B814" s="44" t="s">
        <v>202</v>
      </c>
      <c r="C814" s="44" t="s">
        <v>158</v>
      </c>
      <c r="D814" s="45" t="str">
        <f aca="true">OFFSET(plates!$B$85,CODE(LEFT(B814,1))-64,-1)&amp;"-"&amp;OFFSET(plates!$B$55,-1,MID(B814,2,3)+0)</f>
        <v>bc368-bc336</v>
      </c>
      <c r="E814" s="46" t="str">
        <f aca="true">OFFSET(plates!$B$85,CODE(LEFT(B814,1))-64,MID(B814,2,3)+0)&amp;""</f>
        <v/>
      </c>
      <c r="F814" s="46"/>
      <c r="G814" s="47"/>
      <c r="H814" s="47"/>
    </row>
    <row r="815" customFormat="false" ht="12.8" hidden="false" customHeight="false" outlineLevel="0" collapsed="false">
      <c r="A815" s="44" t="n">
        <v>9</v>
      </c>
      <c r="B815" s="44" t="s">
        <v>203</v>
      </c>
      <c r="C815" s="44" t="s">
        <v>158</v>
      </c>
      <c r="D815" s="45" t="str">
        <f aca="true">OFFSET(plates!$B$85,CODE(LEFT(B815,1))-64,-1)&amp;"-"&amp;OFFSET(plates!$B$55,-1,MID(B815,2,3)+0)</f>
        <v>bc370-bc336</v>
      </c>
      <c r="E815" s="46" t="str">
        <f aca="true">OFFSET(plates!$B$85,CODE(LEFT(B815,1))-64,MID(B815,2,3)+0)&amp;""</f>
        <v/>
      </c>
      <c r="F815" s="46"/>
      <c r="G815" s="47"/>
      <c r="H815" s="47"/>
    </row>
    <row r="816" customFormat="false" ht="12.8" hidden="false" customHeight="false" outlineLevel="0" collapsed="false">
      <c r="A816" s="44" t="n">
        <v>9</v>
      </c>
      <c r="B816" s="44" t="s">
        <v>204</v>
      </c>
      <c r="C816" s="44" t="s">
        <v>158</v>
      </c>
      <c r="D816" s="45" t="str">
        <f aca="true">OFFSET(plates!$B$85,CODE(LEFT(B816,1))-64,-1)&amp;"-"&amp;OFFSET(plates!$B$55,-1,MID(B816,2,3)+0)</f>
        <v>bc377-bc336</v>
      </c>
      <c r="E816" s="46" t="str">
        <f aca="true">OFFSET(plates!$B$85,CODE(LEFT(B816,1))-64,MID(B816,2,3)+0)&amp;""</f>
        <v/>
      </c>
      <c r="F816" s="46"/>
      <c r="G816" s="47"/>
      <c r="H816" s="47"/>
    </row>
    <row r="817" customFormat="false" ht="12.8" hidden="false" customHeight="false" outlineLevel="0" collapsed="false">
      <c r="A817" s="44" t="n">
        <v>9</v>
      </c>
      <c r="B817" s="44" t="s">
        <v>205</v>
      </c>
      <c r="C817" s="44" t="s">
        <v>158</v>
      </c>
      <c r="D817" s="45" t="str">
        <f aca="true">OFFSET(plates!$B$85,CODE(LEFT(B817,1))-64,-1)&amp;"-"&amp;OFFSET(plates!$B$55,-1,MID(B817,2,3)+0)</f>
        <v>bc406-bc336</v>
      </c>
      <c r="E817" s="46" t="str">
        <f aca="true">OFFSET(plates!$B$85,CODE(LEFT(B817,1))-64,MID(B817,2,3)+0)&amp;""</f>
        <v/>
      </c>
      <c r="F817" s="46"/>
      <c r="G817" s="47"/>
      <c r="H817" s="47"/>
    </row>
    <row r="818" customFormat="false" ht="12.8" hidden="false" customHeight="false" outlineLevel="0" collapsed="false">
      <c r="A818" s="44" t="n">
        <v>9</v>
      </c>
      <c r="B818" s="44" t="s">
        <v>206</v>
      </c>
      <c r="C818" s="44" t="s">
        <v>158</v>
      </c>
      <c r="D818" s="45" t="str">
        <f aca="true">OFFSET(plates!$B$85,CODE(LEFT(B818,1))-64,-1)&amp;"-"&amp;OFFSET(plates!$B$55,-1,MID(B818,2,3)+0)</f>
        <v>bc327-bc365</v>
      </c>
      <c r="E818" s="46" t="str">
        <f aca="true">OFFSET(plates!$B$85,CODE(LEFT(B818,1))-64,MID(B818,2,3)+0)&amp;""</f>
        <v/>
      </c>
      <c r="F818" s="46"/>
      <c r="G818" s="47"/>
      <c r="H818" s="47"/>
    </row>
    <row r="819" customFormat="false" ht="12.8" hidden="false" customHeight="false" outlineLevel="0" collapsed="false">
      <c r="A819" s="44" t="n">
        <v>9</v>
      </c>
      <c r="B819" s="44" t="s">
        <v>207</v>
      </c>
      <c r="C819" s="44" t="s">
        <v>158</v>
      </c>
      <c r="D819" s="45" t="str">
        <f aca="true">OFFSET(plates!$B$85,CODE(LEFT(B819,1))-64,-1)&amp;"-"&amp;OFFSET(plates!$B$55,-1,MID(B819,2,3)+0)</f>
        <v>bc357-bc365</v>
      </c>
      <c r="E819" s="46" t="str">
        <f aca="true">OFFSET(plates!$B$85,CODE(LEFT(B819,1))-64,MID(B819,2,3)+0)&amp;""</f>
        <v/>
      </c>
      <c r="F819" s="46"/>
      <c r="G819" s="47"/>
      <c r="H819" s="47"/>
    </row>
    <row r="820" customFormat="false" ht="12.8" hidden="false" customHeight="false" outlineLevel="0" collapsed="false">
      <c r="A820" s="44" t="n">
        <v>9</v>
      </c>
      <c r="B820" s="44" t="s">
        <v>208</v>
      </c>
      <c r="C820" s="44" t="s">
        <v>158</v>
      </c>
      <c r="D820" s="45" t="str">
        <f aca="true">OFFSET(plates!$B$85,CODE(LEFT(B820,1))-64,-1)&amp;"-"&amp;OFFSET(plates!$B$55,-1,MID(B820,2,3)+0)</f>
        <v>bc361-bc365</v>
      </c>
      <c r="E820" s="46" t="str">
        <f aca="true">OFFSET(plates!$B$85,CODE(LEFT(B820,1))-64,MID(B820,2,3)+0)&amp;""</f>
        <v/>
      </c>
      <c r="F820" s="46"/>
      <c r="G820" s="47"/>
      <c r="H820" s="47"/>
    </row>
    <row r="821" customFormat="false" ht="12.8" hidden="false" customHeight="false" outlineLevel="0" collapsed="false">
      <c r="A821" s="44" t="n">
        <v>9</v>
      </c>
      <c r="B821" s="44" t="s">
        <v>209</v>
      </c>
      <c r="C821" s="44" t="s">
        <v>158</v>
      </c>
      <c r="D821" s="45" t="str">
        <f aca="true">OFFSET(plates!$B$85,CODE(LEFT(B821,1))-64,-1)&amp;"-"&amp;OFFSET(plates!$B$55,-1,MID(B821,2,3)+0)</f>
        <v>bc362-bc365</v>
      </c>
      <c r="E821" s="46" t="str">
        <f aca="true">OFFSET(plates!$B$85,CODE(LEFT(B821,1))-64,MID(B821,2,3)+0)&amp;""</f>
        <v/>
      </c>
      <c r="F821" s="46"/>
      <c r="G821" s="47"/>
      <c r="H821" s="47"/>
    </row>
    <row r="822" customFormat="false" ht="12.8" hidden="false" customHeight="false" outlineLevel="0" collapsed="false">
      <c r="A822" s="44" t="n">
        <v>9</v>
      </c>
      <c r="B822" s="44" t="s">
        <v>210</v>
      </c>
      <c r="C822" s="44" t="s">
        <v>158</v>
      </c>
      <c r="D822" s="45" t="str">
        <f aca="true">OFFSET(plates!$B$85,CODE(LEFT(B822,1))-64,-1)&amp;"-"&amp;OFFSET(plates!$B$55,-1,MID(B822,2,3)+0)</f>
        <v>bc368-bc365</v>
      </c>
      <c r="E822" s="46" t="str">
        <f aca="true">OFFSET(plates!$B$85,CODE(LEFT(B822,1))-64,MID(B822,2,3)+0)&amp;""</f>
        <v/>
      </c>
      <c r="F822" s="46"/>
      <c r="G822" s="47"/>
      <c r="H822" s="47"/>
    </row>
    <row r="823" customFormat="false" ht="12.8" hidden="false" customHeight="false" outlineLevel="0" collapsed="false">
      <c r="A823" s="44" t="n">
        <v>9</v>
      </c>
      <c r="B823" s="44" t="s">
        <v>211</v>
      </c>
      <c r="C823" s="44" t="s">
        <v>158</v>
      </c>
      <c r="D823" s="45" t="str">
        <f aca="true">OFFSET(plates!$B$85,CODE(LEFT(B823,1))-64,-1)&amp;"-"&amp;OFFSET(plates!$B$55,-1,MID(B823,2,3)+0)</f>
        <v>bc370-bc365</v>
      </c>
      <c r="E823" s="46" t="str">
        <f aca="true">OFFSET(plates!$B$85,CODE(LEFT(B823,1))-64,MID(B823,2,3)+0)&amp;""</f>
        <v/>
      </c>
      <c r="F823" s="46"/>
      <c r="G823" s="47"/>
      <c r="H823" s="47"/>
    </row>
    <row r="824" customFormat="false" ht="12.8" hidden="false" customHeight="false" outlineLevel="0" collapsed="false">
      <c r="A824" s="44" t="n">
        <v>9</v>
      </c>
      <c r="B824" s="44" t="s">
        <v>212</v>
      </c>
      <c r="C824" s="44" t="s">
        <v>158</v>
      </c>
      <c r="D824" s="45" t="str">
        <f aca="true">OFFSET(plates!$B$85,CODE(LEFT(B824,1))-64,-1)&amp;"-"&amp;OFFSET(plates!$B$55,-1,MID(B824,2,3)+0)</f>
        <v>bc377-bc365</v>
      </c>
      <c r="E824" s="46" t="str">
        <f aca="true">OFFSET(plates!$B$85,CODE(LEFT(B824,1))-64,MID(B824,2,3)+0)&amp;""</f>
        <v/>
      </c>
      <c r="F824" s="46"/>
      <c r="G824" s="47"/>
      <c r="H824" s="47"/>
    </row>
    <row r="825" customFormat="false" ht="12.8" hidden="false" customHeight="false" outlineLevel="0" collapsed="false">
      <c r="A825" s="44" t="n">
        <v>9</v>
      </c>
      <c r="B825" s="44" t="s">
        <v>213</v>
      </c>
      <c r="C825" s="44" t="s">
        <v>158</v>
      </c>
      <c r="D825" s="45" t="str">
        <f aca="true">OFFSET(plates!$B$85,CODE(LEFT(B825,1))-64,-1)&amp;"-"&amp;OFFSET(plates!$B$55,-1,MID(B825,2,3)+0)</f>
        <v>bc406-bc365</v>
      </c>
      <c r="E825" s="46" t="str">
        <f aca="true">OFFSET(plates!$B$85,CODE(LEFT(B825,1))-64,MID(B825,2,3)+0)&amp;""</f>
        <v/>
      </c>
      <c r="F825" s="46"/>
      <c r="G825" s="47"/>
      <c r="H825" s="47"/>
    </row>
    <row r="826" customFormat="false" ht="12.8" hidden="false" customHeight="false" outlineLevel="0" collapsed="false">
      <c r="A826" s="44" t="n">
        <v>9</v>
      </c>
      <c r="B826" s="44" t="s">
        <v>214</v>
      </c>
      <c r="C826" s="44" t="s">
        <v>158</v>
      </c>
      <c r="D826" s="45" t="str">
        <f aca="true">OFFSET(plates!$B$85,CODE(LEFT(B826,1))-64,-1)&amp;"-"&amp;OFFSET(plates!$B$55,-1,MID(B826,2,3)+0)</f>
        <v>bc327-bc370</v>
      </c>
      <c r="E826" s="46" t="str">
        <f aca="true">OFFSET(plates!$B$85,CODE(LEFT(B826,1))-64,MID(B826,2,3)+0)&amp;""</f>
        <v/>
      </c>
      <c r="F826" s="46"/>
      <c r="G826" s="47"/>
      <c r="H826" s="47"/>
    </row>
    <row r="827" customFormat="false" ht="12.8" hidden="false" customHeight="false" outlineLevel="0" collapsed="false">
      <c r="A827" s="44" t="n">
        <v>9</v>
      </c>
      <c r="B827" s="44" t="s">
        <v>215</v>
      </c>
      <c r="C827" s="44" t="s">
        <v>158</v>
      </c>
      <c r="D827" s="45" t="str">
        <f aca="true">OFFSET(plates!$B$85,CODE(LEFT(B827,1))-64,-1)&amp;"-"&amp;OFFSET(plates!$B$55,-1,MID(B827,2,3)+0)</f>
        <v>bc357-bc370</v>
      </c>
      <c r="E827" s="46" t="str">
        <f aca="true">OFFSET(plates!$B$85,CODE(LEFT(B827,1))-64,MID(B827,2,3)+0)&amp;""</f>
        <v/>
      </c>
      <c r="F827" s="46"/>
      <c r="G827" s="47"/>
      <c r="H827" s="47"/>
    </row>
    <row r="828" customFormat="false" ht="12.8" hidden="false" customHeight="false" outlineLevel="0" collapsed="false">
      <c r="A828" s="44" t="n">
        <v>9</v>
      </c>
      <c r="B828" s="44" t="s">
        <v>216</v>
      </c>
      <c r="C828" s="44" t="s">
        <v>158</v>
      </c>
      <c r="D828" s="45" t="str">
        <f aca="true">OFFSET(plates!$B$85,CODE(LEFT(B828,1))-64,-1)&amp;"-"&amp;OFFSET(plates!$B$55,-1,MID(B828,2,3)+0)</f>
        <v>bc361-bc370</v>
      </c>
      <c r="E828" s="46" t="str">
        <f aca="true">OFFSET(plates!$B$85,CODE(LEFT(B828,1))-64,MID(B828,2,3)+0)&amp;""</f>
        <v/>
      </c>
      <c r="F828" s="46"/>
      <c r="G828" s="47"/>
      <c r="H828" s="47"/>
    </row>
    <row r="829" customFormat="false" ht="12.8" hidden="false" customHeight="false" outlineLevel="0" collapsed="false">
      <c r="A829" s="44" t="n">
        <v>9</v>
      </c>
      <c r="B829" s="44" t="s">
        <v>217</v>
      </c>
      <c r="C829" s="44" t="s">
        <v>158</v>
      </c>
      <c r="D829" s="45" t="str">
        <f aca="true">OFFSET(plates!$B$85,CODE(LEFT(B829,1))-64,-1)&amp;"-"&amp;OFFSET(plates!$B$55,-1,MID(B829,2,3)+0)</f>
        <v>bc362-bc370</v>
      </c>
      <c r="E829" s="46" t="str">
        <f aca="true">OFFSET(plates!$B$85,CODE(LEFT(B829,1))-64,MID(B829,2,3)+0)&amp;""</f>
        <v/>
      </c>
      <c r="F829" s="46"/>
      <c r="G829" s="47"/>
      <c r="H829" s="47"/>
    </row>
    <row r="830" customFormat="false" ht="12.8" hidden="false" customHeight="false" outlineLevel="0" collapsed="false">
      <c r="A830" s="44" t="n">
        <v>9</v>
      </c>
      <c r="B830" s="44" t="s">
        <v>218</v>
      </c>
      <c r="C830" s="44" t="s">
        <v>158</v>
      </c>
      <c r="D830" s="45" t="str">
        <f aca="true">OFFSET(plates!$B$85,CODE(LEFT(B830,1))-64,-1)&amp;"-"&amp;OFFSET(plates!$B$55,-1,MID(B830,2,3)+0)</f>
        <v>bc368-bc370</v>
      </c>
      <c r="E830" s="46" t="str">
        <f aca="true">OFFSET(plates!$B$85,CODE(LEFT(B830,1))-64,MID(B830,2,3)+0)&amp;""</f>
        <v/>
      </c>
      <c r="F830" s="46"/>
      <c r="G830" s="47"/>
      <c r="H830" s="47"/>
    </row>
    <row r="831" customFormat="false" ht="12.8" hidden="false" customHeight="false" outlineLevel="0" collapsed="false">
      <c r="A831" s="44" t="n">
        <v>9</v>
      </c>
      <c r="B831" s="44" t="s">
        <v>219</v>
      </c>
      <c r="C831" s="44" t="s">
        <v>158</v>
      </c>
      <c r="D831" s="45" t="str">
        <f aca="true">OFFSET(plates!$B$85,CODE(LEFT(B831,1))-64,-1)&amp;"-"&amp;OFFSET(plates!$B$55,-1,MID(B831,2,3)+0)</f>
        <v>bc370-bc370</v>
      </c>
      <c r="E831" s="46" t="str">
        <f aca="true">OFFSET(plates!$B$85,CODE(LEFT(B831,1))-64,MID(B831,2,3)+0)&amp;""</f>
        <v/>
      </c>
      <c r="F831" s="46"/>
      <c r="G831" s="47"/>
      <c r="H831" s="47"/>
    </row>
    <row r="832" customFormat="false" ht="12.8" hidden="false" customHeight="false" outlineLevel="0" collapsed="false">
      <c r="A832" s="44" t="n">
        <v>9</v>
      </c>
      <c r="B832" s="44" t="s">
        <v>220</v>
      </c>
      <c r="C832" s="44" t="s">
        <v>158</v>
      </c>
      <c r="D832" s="45" t="str">
        <f aca="true">OFFSET(plates!$B$85,CODE(LEFT(B832,1))-64,-1)&amp;"-"&amp;OFFSET(plates!$B$55,-1,MID(B832,2,3)+0)</f>
        <v>bc377-bc370</v>
      </c>
      <c r="E832" s="46" t="str">
        <f aca="true">OFFSET(plates!$B$85,CODE(LEFT(B832,1))-64,MID(B832,2,3)+0)&amp;""</f>
        <v/>
      </c>
      <c r="F832" s="46"/>
      <c r="G832" s="47"/>
      <c r="H832" s="47"/>
    </row>
    <row r="833" customFormat="false" ht="12.8" hidden="false" customHeight="false" outlineLevel="0" collapsed="false">
      <c r="A833" s="44" t="n">
        <v>9</v>
      </c>
      <c r="B833" s="44" t="s">
        <v>221</v>
      </c>
      <c r="C833" s="44" t="s">
        <v>158</v>
      </c>
      <c r="D833" s="45" t="str">
        <f aca="true">OFFSET(plates!$B$85,CODE(LEFT(B833,1))-64,-1)&amp;"-"&amp;OFFSET(plates!$B$55,-1,MID(B833,2,3)+0)</f>
        <v>bc406-bc370</v>
      </c>
      <c r="E833" s="46" t="str">
        <f aca="true">OFFSET(plates!$B$85,CODE(LEFT(B833,1))-64,MID(B833,2,3)+0)&amp;""</f>
        <v/>
      </c>
      <c r="F833" s="46"/>
      <c r="G833" s="47"/>
      <c r="H833" s="47"/>
    </row>
    <row r="834" customFormat="false" ht="12.8" hidden="false" customHeight="false" outlineLevel="0" collapsed="false">
      <c r="A834" s="44" t="n">
        <v>9</v>
      </c>
      <c r="B834" s="44" t="s">
        <v>222</v>
      </c>
      <c r="C834" s="44" t="s">
        <v>158</v>
      </c>
      <c r="D834" s="45" t="str">
        <f aca="true">OFFSET(plates!$B$85,CODE(LEFT(B834,1))-64,-1)&amp;"-"&amp;OFFSET(plates!$B$55,-1,MID(B834,2,3)+0)</f>
        <v>bc327-bc387</v>
      </c>
      <c r="E834" s="46" t="str">
        <f aca="true">OFFSET(plates!$B$85,CODE(LEFT(B834,1))-64,MID(B834,2,3)+0)&amp;""</f>
        <v/>
      </c>
      <c r="F834" s="46"/>
      <c r="G834" s="47"/>
      <c r="H834" s="47"/>
    </row>
    <row r="835" customFormat="false" ht="12.8" hidden="false" customHeight="false" outlineLevel="0" collapsed="false">
      <c r="A835" s="44" t="n">
        <v>9</v>
      </c>
      <c r="B835" s="44" t="s">
        <v>223</v>
      </c>
      <c r="C835" s="44" t="s">
        <v>158</v>
      </c>
      <c r="D835" s="45" t="str">
        <f aca="true">OFFSET(plates!$B$85,CODE(LEFT(B835,1))-64,-1)&amp;"-"&amp;OFFSET(plates!$B$55,-1,MID(B835,2,3)+0)</f>
        <v>bc357-bc387</v>
      </c>
      <c r="E835" s="46" t="str">
        <f aca="true">OFFSET(plates!$B$85,CODE(LEFT(B835,1))-64,MID(B835,2,3)+0)&amp;""</f>
        <v/>
      </c>
      <c r="F835" s="46"/>
      <c r="G835" s="47"/>
      <c r="H835" s="47"/>
    </row>
    <row r="836" customFormat="false" ht="12.8" hidden="false" customHeight="false" outlineLevel="0" collapsed="false">
      <c r="A836" s="44" t="n">
        <v>9</v>
      </c>
      <c r="B836" s="44" t="s">
        <v>224</v>
      </c>
      <c r="C836" s="44" t="s">
        <v>158</v>
      </c>
      <c r="D836" s="45" t="str">
        <f aca="true">OFFSET(plates!$B$85,CODE(LEFT(B836,1))-64,-1)&amp;"-"&amp;OFFSET(plates!$B$55,-1,MID(B836,2,3)+0)</f>
        <v>bc361-bc387</v>
      </c>
      <c r="E836" s="46" t="str">
        <f aca="true">OFFSET(plates!$B$85,CODE(LEFT(B836,1))-64,MID(B836,2,3)+0)&amp;""</f>
        <v/>
      </c>
      <c r="F836" s="46"/>
      <c r="G836" s="47"/>
      <c r="H836" s="47"/>
    </row>
    <row r="837" customFormat="false" ht="12.8" hidden="false" customHeight="false" outlineLevel="0" collapsed="false">
      <c r="A837" s="44" t="n">
        <v>9</v>
      </c>
      <c r="B837" s="44" t="s">
        <v>225</v>
      </c>
      <c r="C837" s="44" t="s">
        <v>158</v>
      </c>
      <c r="D837" s="45" t="str">
        <f aca="true">OFFSET(plates!$B$85,CODE(LEFT(B837,1))-64,-1)&amp;"-"&amp;OFFSET(plates!$B$55,-1,MID(B837,2,3)+0)</f>
        <v>bc362-bc387</v>
      </c>
      <c r="E837" s="46" t="str">
        <f aca="true">OFFSET(plates!$B$85,CODE(LEFT(B837,1))-64,MID(B837,2,3)+0)&amp;""</f>
        <v/>
      </c>
      <c r="F837" s="46"/>
      <c r="G837" s="47"/>
      <c r="H837" s="47"/>
    </row>
    <row r="838" customFormat="false" ht="12.8" hidden="false" customHeight="false" outlineLevel="0" collapsed="false">
      <c r="A838" s="44" t="n">
        <v>9</v>
      </c>
      <c r="B838" s="44" t="s">
        <v>226</v>
      </c>
      <c r="C838" s="44" t="s">
        <v>158</v>
      </c>
      <c r="D838" s="45" t="str">
        <f aca="true">OFFSET(plates!$B$85,CODE(LEFT(B838,1))-64,-1)&amp;"-"&amp;OFFSET(plates!$B$55,-1,MID(B838,2,3)+0)</f>
        <v>bc368-bc387</v>
      </c>
      <c r="E838" s="46" t="str">
        <f aca="true">OFFSET(plates!$B$85,CODE(LEFT(B838,1))-64,MID(B838,2,3)+0)&amp;""</f>
        <v/>
      </c>
      <c r="F838" s="46"/>
      <c r="G838" s="47"/>
      <c r="H838" s="47"/>
    </row>
    <row r="839" customFormat="false" ht="12.8" hidden="false" customHeight="false" outlineLevel="0" collapsed="false">
      <c r="A839" s="44" t="n">
        <v>9</v>
      </c>
      <c r="B839" s="44" t="s">
        <v>227</v>
      </c>
      <c r="C839" s="44" t="s">
        <v>158</v>
      </c>
      <c r="D839" s="45" t="str">
        <f aca="true">OFFSET(plates!$B$85,CODE(LEFT(B839,1))-64,-1)&amp;"-"&amp;OFFSET(plates!$B$55,-1,MID(B839,2,3)+0)</f>
        <v>bc370-bc387</v>
      </c>
      <c r="E839" s="46" t="str">
        <f aca="true">OFFSET(plates!$B$85,CODE(LEFT(B839,1))-64,MID(B839,2,3)+0)&amp;""</f>
        <v/>
      </c>
      <c r="F839" s="46"/>
      <c r="G839" s="47"/>
      <c r="H839" s="47"/>
    </row>
    <row r="840" customFormat="false" ht="12.8" hidden="false" customHeight="false" outlineLevel="0" collapsed="false">
      <c r="A840" s="44" t="n">
        <v>9</v>
      </c>
      <c r="B840" s="44" t="s">
        <v>228</v>
      </c>
      <c r="C840" s="44" t="s">
        <v>158</v>
      </c>
      <c r="D840" s="45" t="str">
        <f aca="true">OFFSET(plates!$B$85,CODE(LEFT(B840,1))-64,-1)&amp;"-"&amp;OFFSET(plates!$B$55,-1,MID(B840,2,3)+0)</f>
        <v>bc377-bc387</v>
      </c>
      <c r="E840" s="46" t="str">
        <f aca="true">OFFSET(plates!$B$85,CODE(LEFT(B840,1))-64,MID(B840,2,3)+0)&amp;""</f>
        <v/>
      </c>
      <c r="F840" s="46"/>
      <c r="G840" s="47"/>
      <c r="H840" s="47"/>
    </row>
    <row r="841" customFormat="false" ht="12.8" hidden="false" customHeight="false" outlineLevel="0" collapsed="false">
      <c r="A841" s="44" t="n">
        <v>9</v>
      </c>
      <c r="B841" s="44" t="s">
        <v>229</v>
      </c>
      <c r="C841" s="44" t="s">
        <v>158</v>
      </c>
      <c r="D841" s="45" t="str">
        <f aca="true">OFFSET(plates!$B$85,CODE(LEFT(B841,1))-64,-1)&amp;"-"&amp;OFFSET(plates!$B$55,-1,MID(B841,2,3)+0)</f>
        <v>bc406-bc387</v>
      </c>
      <c r="E841" s="46" t="str">
        <f aca="true">OFFSET(plates!$B$85,CODE(LEFT(B841,1))-64,MID(B841,2,3)+0)&amp;""</f>
        <v/>
      </c>
      <c r="F841" s="46"/>
      <c r="G841" s="47"/>
      <c r="H841" s="47"/>
    </row>
    <row r="842" customFormat="false" ht="12.8" hidden="false" customHeight="false" outlineLevel="0" collapsed="false">
      <c r="A842" s="44" t="n">
        <v>9</v>
      </c>
      <c r="B842" s="44" t="s">
        <v>230</v>
      </c>
      <c r="C842" s="44" t="s">
        <v>158</v>
      </c>
      <c r="D842" s="45" t="str">
        <f aca="true">OFFSET(plates!$B$85,CODE(LEFT(B842,1))-64,-1)&amp;"-"&amp;OFFSET(plates!$B$55,-1,MID(B842,2,3)+0)</f>
        <v>bc327-bc388</v>
      </c>
      <c r="E842" s="46" t="str">
        <f aca="true">OFFSET(plates!$B$85,CODE(LEFT(B842,1))-64,MID(B842,2,3)+0)&amp;""</f>
        <v/>
      </c>
      <c r="F842" s="46"/>
      <c r="G842" s="47"/>
      <c r="H842" s="47"/>
    </row>
    <row r="843" customFormat="false" ht="12.8" hidden="false" customHeight="false" outlineLevel="0" collapsed="false">
      <c r="A843" s="44" t="n">
        <v>9</v>
      </c>
      <c r="B843" s="44" t="s">
        <v>231</v>
      </c>
      <c r="C843" s="44" t="s">
        <v>158</v>
      </c>
      <c r="D843" s="45" t="str">
        <f aca="true">OFFSET(plates!$B$85,CODE(LEFT(B843,1))-64,-1)&amp;"-"&amp;OFFSET(plates!$B$55,-1,MID(B843,2,3)+0)</f>
        <v>bc357-bc388</v>
      </c>
      <c r="E843" s="46" t="str">
        <f aca="true">OFFSET(plates!$B$85,CODE(LEFT(B843,1))-64,MID(B843,2,3)+0)&amp;""</f>
        <v/>
      </c>
      <c r="F843" s="46"/>
      <c r="G843" s="47"/>
      <c r="H843" s="47"/>
    </row>
    <row r="844" customFormat="false" ht="12.8" hidden="false" customHeight="false" outlineLevel="0" collapsed="false">
      <c r="A844" s="44" t="n">
        <v>9</v>
      </c>
      <c r="B844" s="44" t="s">
        <v>232</v>
      </c>
      <c r="C844" s="44" t="s">
        <v>158</v>
      </c>
      <c r="D844" s="45" t="str">
        <f aca="true">OFFSET(plates!$B$85,CODE(LEFT(B844,1))-64,-1)&amp;"-"&amp;OFFSET(plates!$B$55,-1,MID(B844,2,3)+0)</f>
        <v>bc361-bc388</v>
      </c>
      <c r="E844" s="46" t="str">
        <f aca="true">OFFSET(plates!$B$85,CODE(LEFT(B844,1))-64,MID(B844,2,3)+0)&amp;""</f>
        <v/>
      </c>
      <c r="F844" s="46"/>
      <c r="G844" s="47"/>
      <c r="H844" s="47"/>
    </row>
    <row r="845" s="48" customFormat="true" ht="12.8" hidden="false" customHeight="false" outlineLevel="0" collapsed="false">
      <c r="A845" s="44" t="n">
        <v>9</v>
      </c>
      <c r="B845" s="44" t="s">
        <v>233</v>
      </c>
      <c r="C845" s="44" t="s">
        <v>158</v>
      </c>
      <c r="D845" s="45" t="str">
        <f aca="true">OFFSET(plates!$B$85,CODE(LEFT(B845,1))-64,-1)&amp;"-"&amp;OFFSET(plates!$B$55,-1,MID(B845,2,3)+0)</f>
        <v>bc362-bc388</v>
      </c>
      <c r="E845" s="46" t="str">
        <f aca="true">OFFSET(plates!$B$85,CODE(LEFT(B845,1))-64,MID(B845,2,3)+0)&amp;""</f>
        <v/>
      </c>
      <c r="F845" s="46"/>
      <c r="G845" s="47"/>
      <c r="H845" s="47"/>
      <c r="I845" s="36"/>
      <c r="J845" s="36"/>
      <c r="K845" s="36"/>
      <c r="L845" s="36"/>
      <c r="M845" s="36"/>
    </row>
    <row r="846" customFormat="false" ht="12.8" hidden="false" customHeight="false" outlineLevel="0" collapsed="false">
      <c r="A846" s="44" t="n">
        <v>9</v>
      </c>
      <c r="B846" s="44" t="s">
        <v>234</v>
      </c>
      <c r="C846" s="44" t="s">
        <v>158</v>
      </c>
      <c r="D846" s="45" t="str">
        <f aca="true">OFFSET(plates!$B$85,CODE(LEFT(B846,1))-64,-1)&amp;"-"&amp;OFFSET(plates!$B$55,-1,MID(B846,2,3)+0)</f>
        <v>bc368-bc388</v>
      </c>
      <c r="E846" s="46" t="str">
        <f aca="true">OFFSET(plates!$B$85,CODE(LEFT(B846,1))-64,MID(B846,2,3)+0)&amp;""</f>
        <v/>
      </c>
      <c r="F846" s="46"/>
      <c r="G846" s="47"/>
      <c r="H846" s="47"/>
    </row>
    <row r="847" customFormat="false" ht="12.8" hidden="false" customHeight="false" outlineLevel="0" collapsed="false">
      <c r="A847" s="44" t="n">
        <v>9</v>
      </c>
      <c r="B847" s="44" t="s">
        <v>235</v>
      </c>
      <c r="C847" s="44" t="s">
        <v>158</v>
      </c>
      <c r="D847" s="45" t="str">
        <f aca="true">OFFSET(plates!$B$85,CODE(LEFT(B847,1))-64,-1)&amp;"-"&amp;OFFSET(plates!$B$55,-1,MID(B847,2,3)+0)</f>
        <v>bc370-bc388</v>
      </c>
      <c r="E847" s="46" t="str">
        <f aca="true">OFFSET(plates!$B$85,CODE(LEFT(B847,1))-64,MID(B847,2,3)+0)&amp;""</f>
        <v/>
      </c>
      <c r="F847" s="46"/>
      <c r="G847" s="47"/>
      <c r="H847" s="47"/>
    </row>
    <row r="848" customFormat="false" ht="12.8" hidden="false" customHeight="false" outlineLevel="0" collapsed="false">
      <c r="A848" s="44" t="n">
        <v>9</v>
      </c>
      <c r="B848" s="44" t="s">
        <v>236</v>
      </c>
      <c r="C848" s="44" t="s">
        <v>158</v>
      </c>
      <c r="D848" s="45" t="str">
        <f aca="true">OFFSET(plates!$B$85,CODE(LEFT(B848,1))-64,-1)&amp;"-"&amp;OFFSET(plates!$B$55,-1,MID(B848,2,3)+0)</f>
        <v>bc377-bc388</v>
      </c>
      <c r="E848" s="46" t="str">
        <f aca="true">OFFSET(plates!$B$85,CODE(LEFT(B848,1))-64,MID(B848,2,3)+0)&amp;""</f>
        <v/>
      </c>
      <c r="F848" s="46"/>
      <c r="G848" s="47"/>
      <c r="H848" s="47"/>
    </row>
    <row r="849" customFormat="false" ht="12.8" hidden="false" customHeight="false" outlineLevel="0" collapsed="false">
      <c r="A849" s="44" t="n">
        <v>9</v>
      </c>
      <c r="B849" s="44" t="s">
        <v>237</v>
      </c>
      <c r="C849" s="44" t="s">
        <v>158</v>
      </c>
      <c r="D849" s="45" t="str">
        <f aca="true">OFFSET(plates!$B$85,CODE(LEFT(B849,1))-64,-1)&amp;"-"&amp;OFFSET(plates!$B$55,-1,MID(B849,2,3)+0)</f>
        <v>bc406-bc388</v>
      </c>
      <c r="E849" s="46" t="str">
        <f aca="true">OFFSET(plates!$B$85,CODE(LEFT(B849,1))-64,MID(B849,2,3)+0)&amp;""</f>
        <v/>
      </c>
      <c r="F849" s="46"/>
      <c r="G849" s="47"/>
      <c r="H849" s="47"/>
    </row>
    <row r="850" customFormat="false" ht="12.8" hidden="false" customHeight="false" outlineLevel="0" collapsed="false">
      <c r="A850" s="44" t="n">
        <v>9</v>
      </c>
      <c r="B850" s="44" t="s">
        <v>238</v>
      </c>
      <c r="C850" s="44" t="s">
        <v>158</v>
      </c>
      <c r="D850" s="45" t="str">
        <f aca="true">OFFSET(plates!$B$85,CODE(LEFT(B850,1))-64,-1)&amp;"-"&amp;OFFSET(plates!$B$55,-1,MID(B850,2,3)+0)</f>
        <v>bc327-bc396</v>
      </c>
      <c r="E850" s="46" t="str">
        <f aca="true">OFFSET(plates!$B$85,CODE(LEFT(B850,1))-64,MID(B850,2,3)+0)&amp;""</f>
        <v/>
      </c>
      <c r="F850" s="46"/>
      <c r="G850" s="47"/>
      <c r="H850" s="47"/>
    </row>
    <row r="851" customFormat="false" ht="12.8" hidden="false" customHeight="false" outlineLevel="0" collapsed="false">
      <c r="A851" s="44" t="n">
        <v>9</v>
      </c>
      <c r="B851" s="44" t="s">
        <v>239</v>
      </c>
      <c r="C851" s="44" t="s">
        <v>158</v>
      </c>
      <c r="D851" s="45" t="str">
        <f aca="true">OFFSET(plates!$B$85,CODE(LEFT(B851,1))-64,-1)&amp;"-"&amp;OFFSET(plates!$B$55,-1,MID(B851,2,3)+0)</f>
        <v>bc357-bc396</v>
      </c>
      <c r="E851" s="46" t="str">
        <f aca="true">OFFSET(plates!$B$85,CODE(LEFT(B851,1))-64,MID(B851,2,3)+0)&amp;""</f>
        <v/>
      </c>
      <c r="F851" s="46"/>
      <c r="G851" s="47"/>
      <c r="H851" s="47"/>
    </row>
    <row r="852" customFormat="false" ht="12.8" hidden="false" customHeight="false" outlineLevel="0" collapsed="false">
      <c r="A852" s="44" t="n">
        <v>9</v>
      </c>
      <c r="B852" s="44" t="s">
        <v>240</v>
      </c>
      <c r="C852" s="44" t="s">
        <v>158</v>
      </c>
      <c r="D852" s="45" t="str">
        <f aca="true">OFFSET(plates!$B$85,CODE(LEFT(B852,1))-64,-1)&amp;"-"&amp;OFFSET(plates!$B$55,-1,MID(B852,2,3)+0)</f>
        <v>bc361-bc396</v>
      </c>
      <c r="E852" s="46" t="str">
        <f aca="true">OFFSET(plates!$B$85,CODE(LEFT(B852,1))-64,MID(B852,2,3)+0)&amp;""</f>
        <v/>
      </c>
      <c r="F852" s="46"/>
      <c r="G852" s="47"/>
      <c r="H852" s="47"/>
    </row>
    <row r="853" customFormat="false" ht="12.8" hidden="false" customHeight="false" outlineLevel="0" collapsed="false">
      <c r="A853" s="44" t="n">
        <v>9</v>
      </c>
      <c r="B853" s="44" t="s">
        <v>241</v>
      </c>
      <c r="C853" s="44" t="s">
        <v>158</v>
      </c>
      <c r="D853" s="45" t="str">
        <f aca="true">OFFSET(plates!$B$85,CODE(LEFT(B853,1))-64,-1)&amp;"-"&amp;OFFSET(plates!$B$55,-1,MID(B853,2,3)+0)</f>
        <v>bc362-bc396</v>
      </c>
      <c r="E853" s="46" t="str">
        <f aca="true">OFFSET(plates!$B$85,CODE(LEFT(B853,1))-64,MID(B853,2,3)+0)&amp;""</f>
        <v/>
      </c>
      <c r="F853" s="46"/>
      <c r="G853" s="47"/>
      <c r="H853" s="47"/>
    </row>
    <row r="854" customFormat="false" ht="12.8" hidden="false" customHeight="false" outlineLevel="0" collapsed="false">
      <c r="A854" s="44" t="n">
        <v>9</v>
      </c>
      <c r="B854" s="44" t="s">
        <v>242</v>
      </c>
      <c r="C854" s="44" t="s">
        <v>158</v>
      </c>
      <c r="D854" s="45" t="str">
        <f aca="true">OFFSET(plates!$B$85,CODE(LEFT(B854,1))-64,-1)&amp;"-"&amp;OFFSET(plates!$B$55,-1,MID(B854,2,3)+0)</f>
        <v>bc368-bc396</v>
      </c>
      <c r="E854" s="46" t="str">
        <f aca="true">OFFSET(plates!$B$85,CODE(LEFT(B854,1))-64,MID(B854,2,3)+0)&amp;""</f>
        <v/>
      </c>
      <c r="F854" s="46"/>
      <c r="G854" s="47"/>
      <c r="H854" s="47"/>
    </row>
    <row r="855" customFormat="false" ht="12.8" hidden="false" customHeight="false" outlineLevel="0" collapsed="false">
      <c r="A855" s="44" t="n">
        <v>9</v>
      </c>
      <c r="B855" s="44" t="s">
        <v>243</v>
      </c>
      <c r="C855" s="44" t="s">
        <v>158</v>
      </c>
      <c r="D855" s="45" t="str">
        <f aca="true">OFFSET(plates!$B$85,CODE(LEFT(B855,1))-64,-1)&amp;"-"&amp;OFFSET(plates!$B$55,-1,MID(B855,2,3)+0)</f>
        <v>bc370-bc396</v>
      </c>
      <c r="E855" s="46" t="str">
        <f aca="true">OFFSET(plates!$B$85,CODE(LEFT(B855,1))-64,MID(B855,2,3)+0)&amp;""</f>
        <v/>
      </c>
      <c r="F855" s="46"/>
      <c r="G855" s="47"/>
      <c r="H855" s="47"/>
    </row>
    <row r="856" customFormat="false" ht="12.8" hidden="false" customHeight="false" outlineLevel="0" collapsed="false">
      <c r="A856" s="44" t="n">
        <v>9</v>
      </c>
      <c r="B856" s="44" t="s">
        <v>244</v>
      </c>
      <c r="C856" s="44" t="s">
        <v>158</v>
      </c>
      <c r="D856" s="45" t="str">
        <f aca="true">OFFSET(plates!$B$85,CODE(LEFT(B856,1))-64,-1)&amp;"-"&amp;OFFSET(plates!$B$55,-1,MID(B856,2,3)+0)</f>
        <v>bc377-bc396</v>
      </c>
      <c r="E856" s="46" t="str">
        <f aca="true">OFFSET(plates!$B$85,CODE(LEFT(B856,1))-64,MID(B856,2,3)+0)&amp;""</f>
        <v/>
      </c>
      <c r="F856" s="46"/>
      <c r="G856" s="47"/>
      <c r="H856" s="47"/>
    </row>
    <row r="857" customFormat="false" ht="12.8" hidden="false" customHeight="false" outlineLevel="0" collapsed="false">
      <c r="A857" s="44" t="n">
        <v>9</v>
      </c>
      <c r="B857" s="44" t="s">
        <v>245</v>
      </c>
      <c r="C857" s="44" t="s">
        <v>158</v>
      </c>
      <c r="D857" s="45" t="str">
        <f aca="true">OFFSET(plates!$B$85,CODE(LEFT(B857,1))-64,-1)&amp;"-"&amp;OFFSET(plates!$B$55,-1,MID(B857,2,3)+0)</f>
        <v>bc406-bc396</v>
      </c>
      <c r="E857" s="46" t="str">
        <f aca="true">OFFSET(plates!$B$85,CODE(LEFT(B857,1))-64,MID(B857,2,3)+0)&amp;""</f>
        <v/>
      </c>
      <c r="F857" s="46"/>
      <c r="G857" s="47"/>
      <c r="H857" s="47"/>
    </row>
    <row r="858" customFormat="false" ht="12.8" hidden="false" customHeight="false" outlineLevel="0" collapsed="false">
      <c r="A858" s="44" t="n">
        <v>9</v>
      </c>
      <c r="B858" s="44" t="s">
        <v>246</v>
      </c>
      <c r="C858" s="44" t="s">
        <v>158</v>
      </c>
      <c r="D858" s="45" t="str">
        <f aca="true">OFFSET(plates!$B$85,CODE(LEFT(B858,1))-64,-1)&amp;"-"&amp;OFFSET(plates!$B$55,-1,MID(B858,2,3)+0)</f>
        <v>bc327-bc397</v>
      </c>
      <c r="E858" s="46" t="str">
        <f aca="true">OFFSET(plates!$B$85,CODE(LEFT(B858,1))-64,MID(B858,2,3)+0)&amp;""</f>
        <v/>
      </c>
      <c r="F858" s="46"/>
      <c r="G858" s="47"/>
      <c r="H858" s="47"/>
    </row>
    <row r="859" customFormat="false" ht="12.8" hidden="false" customHeight="false" outlineLevel="0" collapsed="false">
      <c r="A859" s="44" t="n">
        <v>9</v>
      </c>
      <c r="B859" s="44" t="s">
        <v>247</v>
      </c>
      <c r="C859" s="44" t="s">
        <v>158</v>
      </c>
      <c r="D859" s="45" t="str">
        <f aca="true">OFFSET(plates!$B$85,CODE(LEFT(B859,1))-64,-1)&amp;"-"&amp;OFFSET(plates!$B$55,-1,MID(B859,2,3)+0)</f>
        <v>bc357-bc397</v>
      </c>
      <c r="E859" s="46" t="str">
        <f aca="true">OFFSET(plates!$B$85,CODE(LEFT(B859,1))-64,MID(B859,2,3)+0)&amp;""</f>
        <v/>
      </c>
      <c r="F859" s="46"/>
      <c r="G859" s="47"/>
      <c r="H859" s="47"/>
    </row>
    <row r="860" customFormat="false" ht="12.8" hidden="false" customHeight="false" outlineLevel="0" collapsed="false">
      <c r="A860" s="44" t="n">
        <v>9</v>
      </c>
      <c r="B860" s="44" t="s">
        <v>248</v>
      </c>
      <c r="C860" s="44" t="s">
        <v>158</v>
      </c>
      <c r="D860" s="45" t="str">
        <f aca="true">OFFSET(plates!$B$85,CODE(LEFT(B860,1))-64,-1)&amp;"-"&amp;OFFSET(plates!$B$55,-1,MID(B860,2,3)+0)</f>
        <v>bc361-bc397</v>
      </c>
      <c r="E860" s="46" t="str">
        <f aca="true">OFFSET(plates!$B$85,CODE(LEFT(B860,1))-64,MID(B860,2,3)+0)&amp;""</f>
        <v/>
      </c>
      <c r="F860" s="46"/>
      <c r="G860" s="47"/>
      <c r="H860" s="47"/>
    </row>
    <row r="861" customFormat="false" ht="12.8" hidden="false" customHeight="false" outlineLevel="0" collapsed="false">
      <c r="A861" s="44" t="n">
        <v>9</v>
      </c>
      <c r="B861" s="44" t="s">
        <v>249</v>
      </c>
      <c r="C861" s="44" t="s">
        <v>158</v>
      </c>
      <c r="D861" s="45" t="str">
        <f aca="true">OFFSET(plates!$B$85,CODE(LEFT(B861,1))-64,-1)&amp;"-"&amp;OFFSET(plates!$B$55,-1,MID(B861,2,3)+0)</f>
        <v>bc362-bc397</v>
      </c>
      <c r="E861" s="46" t="str">
        <f aca="true">OFFSET(plates!$B$85,CODE(LEFT(B861,1))-64,MID(B861,2,3)+0)&amp;""</f>
        <v/>
      </c>
      <c r="F861" s="46"/>
      <c r="G861" s="47"/>
      <c r="H861" s="47"/>
    </row>
    <row r="862" customFormat="false" ht="12.8" hidden="false" customHeight="false" outlineLevel="0" collapsed="false">
      <c r="A862" s="44" t="n">
        <v>9</v>
      </c>
      <c r="B862" s="44" t="s">
        <v>250</v>
      </c>
      <c r="C862" s="44" t="s">
        <v>158</v>
      </c>
      <c r="D862" s="45" t="str">
        <f aca="true">OFFSET(plates!$B$85,CODE(LEFT(B862,1))-64,-1)&amp;"-"&amp;OFFSET(plates!$B$55,-1,MID(B862,2,3)+0)</f>
        <v>bc368-bc397</v>
      </c>
      <c r="E862" s="46" t="str">
        <f aca="true">OFFSET(plates!$B$85,CODE(LEFT(B862,1))-64,MID(B862,2,3)+0)&amp;""</f>
        <v/>
      </c>
      <c r="F862" s="46"/>
      <c r="G862" s="47"/>
      <c r="H862" s="47"/>
    </row>
    <row r="863" customFormat="false" ht="12.8" hidden="false" customHeight="false" outlineLevel="0" collapsed="false">
      <c r="A863" s="44" t="n">
        <v>9</v>
      </c>
      <c r="B863" s="44" t="s">
        <v>251</v>
      </c>
      <c r="C863" s="44" t="s">
        <v>158</v>
      </c>
      <c r="D863" s="45" t="str">
        <f aca="true">OFFSET(plates!$B$85,CODE(LEFT(B863,1))-64,-1)&amp;"-"&amp;OFFSET(plates!$B$55,-1,MID(B863,2,3)+0)</f>
        <v>bc370-bc397</v>
      </c>
      <c r="E863" s="46" t="str">
        <f aca="true">OFFSET(plates!$B$85,CODE(LEFT(B863,1))-64,MID(B863,2,3)+0)&amp;""</f>
        <v/>
      </c>
      <c r="F863" s="46"/>
      <c r="G863" s="47"/>
      <c r="H863" s="47"/>
      <c r="I863" s="36"/>
      <c r="J863" s="36"/>
      <c r="K863" s="36"/>
      <c r="L863" s="36"/>
      <c r="M863" s="36"/>
    </row>
    <row r="864" customFormat="false" ht="12.8" hidden="false" customHeight="false" outlineLevel="0" collapsed="false">
      <c r="A864" s="44" t="n">
        <v>9</v>
      </c>
      <c r="B864" s="44" t="s">
        <v>252</v>
      </c>
      <c r="C864" s="44" t="s">
        <v>158</v>
      </c>
      <c r="D864" s="45" t="str">
        <f aca="true">OFFSET(plates!$B$85,CODE(LEFT(B864,1))-64,-1)&amp;"-"&amp;OFFSET(plates!$B$55,-1,MID(B864,2,3)+0)</f>
        <v>bc377-bc397</v>
      </c>
      <c r="E864" s="46" t="str">
        <f aca="true">OFFSET(plates!$B$85,CODE(LEFT(B864,1))-64,MID(B864,2,3)+0)&amp;""</f>
        <v/>
      </c>
      <c r="F864" s="46"/>
      <c r="G864" s="47"/>
      <c r="H864" s="47"/>
    </row>
    <row r="865" customFormat="false" ht="12.8" hidden="false" customHeight="false" outlineLevel="0" collapsed="false">
      <c r="A865" s="44" t="n">
        <v>9</v>
      </c>
      <c r="B865" s="44" t="s">
        <v>253</v>
      </c>
      <c r="C865" s="44" t="s">
        <v>158</v>
      </c>
      <c r="D865" s="45" t="str">
        <f aca="true">OFFSET(plates!$B$85,CODE(LEFT(B865,1))-64,-1)&amp;"-"&amp;OFFSET(plates!$B$55,-1,MID(B865,2,3)+0)</f>
        <v>bc406-bc397</v>
      </c>
      <c r="E865" s="46" t="str">
        <f aca="true">OFFSET(plates!$B$85,CODE(LEFT(B865,1))-64,MID(B865,2,3)+0)&amp;""</f>
        <v/>
      </c>
      <c r="F865" s="46"/>
      <c r="G865" s="47"/>
      <c r="H865" s="47"/>
      <c r="I865" s="36"/>
      <c r="J865" s="36"/>
      <c r="K865" s="36"/>
    </row>
    <row r="866" customFormat="false" ht="12.8" hidden="false" customHeight="false" outlineLevel="0" collapsed="false">
      <c r="A866" s="44" t="n">
        <v>10</v>
      </c>
      <c r="B866" s="44" t="s">
        <v>157</v>
      </c>
      <c r="C866" s="44" t="s">
        <v>158</v>
      </c>
      <c r="D866" s="45" t="str">
        <f aca="true">OFFSET(plates!$B$95,CODE(LEFT(B866,1))-64,-1)&amp;"-"&amp;OFFSET(plates!$B$55,-1,MID(B866,2,3)+0)</f>
        <v>bc411-bc247</v>
      </c>
      <c r="E866" s="46" t="str">
        <f aca="true">OFFSET(plates!$B$95,CODE(LEFT(B866,1))-64,MID(B866,2,3)+0)&amp;""</f>
        <v/>
      </c>
      <c r="F866" s="46"/>
      <c r="G866" s="47"/>
      <c r="H866" s="47"/>
    </row>
    <row r="867" customFormat="false" ht="12.8" hidden="false" customHeight="false" outlineLevel="0" collapsed="false">
      <c r="A867" s="44" t="n">
        <v>10</v>
      </c>
      <c r="B867" s="44" t="s">
        <v>159</v>
      </c>
      <c r="C867" s="44" t="s">
        <v>158</v>
      </c>
      <c r="D867" s="45" t="str">
        <f aca="true">OFFSET(plates!$B$95,CODE(LEFT(B867,1))-64,-1)&amp;"-"&amp;OFFSET(plates!$B$55,-1,MID(B867,2,3)+0)</f>
        <v>bc418-bc247</v>
      </c>
      <c r="E867" s="46" t="str">
        <f aca="true">OFFSET(plates!$B$95,CODE(LEFT(B867,1))-64,MID(B867,2,3)+0)&amp;""</f>
        <v/>
      </c>
      <c r="F867" s="46"/>
      <c r="G867" s="47"/>
      <c r="H867" s="47"/>
    </row>
    <row r="868" customFormat="false" ht="12.8" hidden="false" customHeight="false" outlineLevel="0" collapsed="false">
      <c r="A868" s="44" t="n">
        <v>10</v>
      </c>
      <c r="B868" s="44" t="s">
        <v>160</v>
      </c>
      <c r="C868" s="44" t="s">
        <v>158</v>
      </c>
      <c r="D868" s="45" t="str">
        <f aca="true">OFFSET(plates!$B$95,CODE(LEFT(B868,1))-64,-1)&amp;"-"&amp;OFFSET(plates!$B$55,-1,MID(B868,2,3)+0)</f>
        <v>bc449-bc247</v>
      </c>
      <c r="E868" s="46" t="str">
        <f aca="true">OFFSET(plates!$B$95,CODE(LEFT(B868,1))-64,MID(B868,2,3)+0)&amp;""</f>
        <v/>
      </c>
      <c r="F868" s="46"/>
      <c r="G868" s="47"/>
      <c r="H868" s="47"/>
    </row>
    <row r="869" customFormat="false" ht="12.8" hidden="false" customHeight="false" outlineLevel="0" collapsed="false">
      <c r="A869" s="44" t="n">
        <v>10</v>
      </c>
      <c r="B869" s="44" t="s">
        <v>161</v>
      </c>
      <c r="C869" s="44" t="s">
        <v>158</v>
      </c>
      <c r="D869" s="45" t="str">
        <f aca="true">OFFSET(plates!$B$95,CODE(LEFT(B869,1))-64,-1)&amp;"-"&amp;OFFSET(plates!$B$55,-1,MID(B869,2,3)+0)</f>
        <v>bc462-bc247</v>
      </c>
      <c r="E869" s="46" t="str">
        <f aca="true">OFFSET(plates!$B$95,CODE(LEFT(B869,1))-64,MID(B869,2,3)+0)&amp;""</f>
        <v/>
      </c>
      <c r="F869" s="46"/>
      <c r="G869" s="47"/>
      <c r="H869" s="47"/>
    </row>
    <row r="870" customFormat="false" ht="12.8" hidden="false" customHeight="false" outlineLevel="0" collapsed="false">
      <c r="A870" s="44" t="n">
        <v>10</v>
      </c>
      <c r="B870" s="44" t="s">
        <v>162</v>
      </c>
      <c r="C870" s="44" t="s">
        <v>158</v>
      </c>
      <c r="D870" s="45" t="str">
        <f aca="true">OFFSET(plates!$B$95,CODE(LEFT(B870,1))-64,-1)&amp;"-"&amp;OFFSET(plates!$B$55,-1,MID(B870,2,3)+0)</f>
        <v>bc485-bc247</v>
      </c>
      <c r="E870" s="46" t="str">
        <f aca="true">OFFSET(plates!$B$95,CODE(LEFT(B870,1))-64,MID(B870,2,3)+0)&amp;""</f>
        <v/>
      </c>
      <c r="F870" s="46"/>
      <c r="G870" s="47"/>
      <c r="H870" s="47"/>
    </row>
    <row r="871" customFormat="false" ht="12.8" hidden="false" customHeight="false" outlineLevel="0" collapsed="false">
      <c r="A871" s="44" t="n">
        <v>10</v>
      </c>
      <c r="B871" s="44" t="s">
        <v>163</v>
      </c>
      <c r="C871" s="44" t="s">
        <v>158</v>
      </c>
      <c r="D871" s="45" t="str">
        <f aca="true">OFFSET(plates!$B$95,CODE(LEFT(B871,1))-64,-1)&amp;"-"&amp;OFFSET(plates!$B$55,-1,MID(B871,2,3)+0)</f>
        <v>bc486-bc247</v>
      </c>
      <c r="E871" s="46" t="str">
        <f aca="true">OFFSET(plates!$B$95,CODE(LEFT(B871,1))-64,MID(B871,2,3)+0)&amp;""</f>
        <v/>
      </c>
      <c r="F871" s="46"/>
      <c r="G871" s="47"/>
      <c r="H871" s="47"/>
    </row>
    <row r="872" customFormat="false" ht="12.8" hidden="false" customHeight="false" outlineLevel="0" collapsed="false">
      <c r="A872" s="44" t="n">
        <v>10</v>
      </c>
      <c r="B872" s="44" t="s">
        <v>164</v>
      </c>
      <c r="C872" s="44" t="s">
        <v>158</v>
      </c>
      <c r="D872" s="45" t="str">
        <f aca="true">OFFSET(plates!$B$95,CODE(LEFT(B872,1))-64,-1)&amp;"-"&amp;OFFSET(plates!$B$55,-1,MID(B872,2,3)+0)</f>
        <v>bc494-bc247</v>
      </c>
      <c r="E872" s="46" t="str">
        <f aca="true">OFFSET(plates!$B$95,CODE(LEFT(B872,1))-64,MID(B872,2,3)+0)&amp;""</f>
        <v/>
      </c>
      <c r="F872" s="46"/>
      <c r="G872" s="47"/>
      <c r="H872" s="47"/>
    </row>
    <row r="873" customFormat="false" ht="12.8" hidden="false" customHeight="false" outlineLevel="0" collapsed="false">
      <c r="A873" s="44" t="n">
        <v>10</v>
      </c>
      <c r="B873" s="44" t="s">
        <v>165</v>
      </c>
      <c r="C873" s="44" t="s">
        <v>158</v>
      </c>
      <c r="D873" s="45" t="str">
        <f aca="true">OFFSET(plates!$B$95,CODE(LEFT(B873,1))-64,-1)&amp;"-"&amp;OFFSET(plates!$B$55,-1,MID(B873,2,3)+0)</f>
        <v>bc538-bc247</v>
      </c>
      <c r="E873" s="46" t="str">
        <f aca="true">OFFSET(plates!$B$95,CODE(LEFT(B873,1))-64,MID(B873,2,3)+0)&amp;""</f>
        <v/>
      </c>
      <c r="F873" s="46"/>
      <c r="G873" s="47"/>
      <c r="H873" s="47"/>
    </row>
    <row r="874" customFormat="false" ht="12.8" hidden="false" customHeight="false" outlineLevel="0" collapsed="false">
      <c r="A874" s="44" t="n">
        <v>10</v>
      </c>
      <c r="B874" s="44" t="s">
        <v>166</v>
      </c>
      <c r="C874" s="44" t="s">
        <v>158</v>
      </c>
      <c r="D874" s="45" t="str">
        <f aca="true">OFFSET(plates!$B$95,CODE(LEFT(B874,1))-64,-1)&amp;"-"&amp;OFFSET(plates!$B$55,-1,MID(B874,2,3)+0)</f>
        <v>bc411-bc286</v>
      </c>
      <c r="E874" s="46" t="str">
        <f aca="true">OFFSET(plates!$B$95,CODE(LEFT(B874,1))-64,MID(B874,2,3)+0)&amp;""</f>
        <v/>
      </c>
      <c r="F874" s="46"/>
      <c r="G874" s="47"/>
      <c r="H874" s="47"/>
    </row>
    <row r="875" customFormat="false" ht="12.8" hidden="false" customHeight="false" outlineLevel="0" collapsed="false">
      <c r="A875" s="44" t="n">
        <v>10</v>
      </c>
      <c r="B875" s="44" t="s">
        <v>167</v>
      </c>
      <c r="C875" s="44" t="s">
        <v>158</v>
      </c>
      <c r="D875" s="45" t="str">
        <f aca="true">OFFSET(plates!$B$95,CODE(LEFT(B875,1))-64,-1)&amp;"-"&amp;OFFSET(plates!$B$55,-1,MID(B875,2,3)+0)</f>
        <v>bc418-bc286</v>
      </c>
      <c r="E875" s="46" t="str">
        <f aca="true">OFFSET(plates!$B$95,CODE(LEFT(B875,1))-64,MID(B875,2,3)+0)&amp;""</f>
        <v/>
      </c>
      <c r="F875" s="46"/>
      <c r="G875" s="47"/>
      <c r="H875" s="47"/>
    </row>
    <row r="876" customFormat="false" ht="12.8" hidden="false" customHeight="false" outlineLevel="0" collapsed="false">
      <c r="A876" s="44" t="n">
        <v>10</v>
      </c>
      <c r="B876" s="44" t="s">
        <v>168</v>
      </c>
      <c r="C876" s="44" t="s">
        <v>158</v>
      </c>
      <c r="D876" s="45" t="str">
        <f aca="true">OFFSET(plates!$B$95,CODE(LEFT(B876,1))-64,-1)&amp;"-"&amp;OFFSET(plates!$B$55,-1,MID(B876,2,3)+0)</f>
        <v>bc449-bc286</v>
      </c>
      <c r="E876" s="46" t="str">
        <f aca="true">OFFSET(plates!$B$95,CODE(LEFT(B876,1))-64,MID(B876,2,3)+0)&amp;""</f>
        <v/>
      </c>
      <c r="F876" s="46"/>
      <c r="G876" s="47"/>
      <c r="H876" s="47"/>
    </row>
    <row r="877" customFormat="false" ht="12.8" hidden="false" customHeight="false" outlineLevel="0" collapsed="false">
      <c r="A877" s="44" t="n">
        <v>10</v>
      </c>
      <c r="B877" s="44" t="s">
        <v>169</v>
      </c>
      <c r="C877" s="44" t="s">
        <v>158</v>
      </c>
      <c r="D877" s="45" t="str">
        <f aca="true">OFFSET(plates!$B$95,CODE(LEFT(B877,1))-64,-1)&amp;"-"&amp;OFFSET(plates!$B$55,-1,MID(B877,2,3)+0)</f>
        <v>bc462-bc286</v>
      </c>
      <c r="E877" s="46" t="str">
        <f aca="true">OFFSET(plates!$B$95,CODE(LEFT(B877,1))-64,MID(B877,2,3)+0)&amp;""</f>
        <v/>
      </c>
      <c r="F877" s="46"/>
      <c r="G877" s="47"/>
      <c r="H877" s="47"/>
    </row>
    <row r="878" customFormat="false" ht="12.8" hidden="false" customHeight="false" outlineLevel="0" collapsed="false">
      <c r="A878" s="44" t="n">
        <v>10</v>
      </c>
      <c r="B878" s="44" t="s">
        <v>170</v>
      </c>
      <c r="C878" s="44" t="s">
        <v>158</v>
      </c>
      <c r="D878" s="45" t="str">
        <f aca="true">OFFSET(plates!$B$95,CODE(LEFT(B878,1))-64,-1)&amp;"-"&amp;OFFSET(plates!$B$55,-1,MID(B878,2,3)+0)</f>
        <v>bc485-bc286</v>
      </c>
      <c r="E878" s="46" t="str">
        <f aca="true">OFFSET(plates!$B$95,CODE(LEFT(B878,1))-64,MID(B878,2,3)+0)&amp;""</f>
        <v/>
      </c>
      <c r="F878" s="46"/>
      <c r="G878" s="47"/>
      <c r="H878" s="47"/>
    </row>
    <row r="879" customFormat="false" ht="12.8" hidden="false" customHeight="false" outlineLevel="0" collapsed="false">
      <c r="A879" s="44" t="n">
        <v>10</v>
      </c>
      <c r="B879" s="44" t="s">
        <v>171</v>
      </c>
      <c r="C879" s="44" t="s">
        <v>158</v>
      </c>
      <c r="D879" s="45" t="str">
        <f aca="true">OFFSET(plates!$B$95,CODE(LEFT(B879,1))-64,-1)&amp;"-"&amp;OFFSET(plates!$B$55,-1,MID(B879,2,3)+0)</f>
        <v>bc486-bc286</v>
      </c>
      <c r="E879" s="46" t="str">
        <f aca="true">OFFSET(plates!$B$95,CODE(LEFT(B879,1))-64,MID(B879,2,3)+0)&amp;""</f>
        <v/>
      </c>
      <c r="F879" s="46"/>
      <c r="G879" s="47"/>
      <c r="H879" s="47"/>
    </row>
    <row r="880" customFormat="false" ht="12.8" hidden="false" customHeight="false" outlineLevel="0" collapsed="false">
      <c r="A880" s="44" t="n">
        <v>10</v>
      </c>
      <c r="B880" s="44" t="s">
        <v>172</v>
      </c>
      <c r="C880" s="44" t="s">
        <v>158</v>
      </c>
      <c r="D880" s="45" t="str">
        <f aca="true">OFFSET(plates!$B$95,CODE(LEFT(B880,1))-64,-1)&amp;"-"&amp;OFFSET(plates!$B$55,-1,MID(B880,2,3)+0)</f>
        <v>bc494-bc286</v>
      </c>
      <c r="E880" s="46" t="str">
        <f aca="true">OFFSET(plates!$B$95,CODE(LEFT(B880,1))-64,MID(B880,2,3)+0)&amp;""</f>
        <v/>
      </c>
      <c r="F880" s="46"/>
      <c r="G880" s="47"/>
      <c r="H880" s="47"/>
    </row>
    <row r="881" customFormat="false" ht="12.8" hidden="false" customHeight="false" outlineLevel="0" collapsed="false">
      <c r="A881" s="44" t="n">
        <v>10</v>
      </c>
      <c r="B881" s="44" t="s">
        <v>173</v>
      </c>
      <c r="C881" s="44" t="s">
        <v>158</v>
      </c>
      <c r="D881" s="45" t="str">
        <f aca="true">OFFSET(plates!$B$95,CODE(LEFT(B881,1))-64,-1)&amp;"-"&amp;OFFSET(plates!$B$55,-1,MID(B881,2,3)+0)</f>
        <v>bc538-bc286</v>
      </c>
      <c r="E881" s="46" t="str">
        <f aca="true">OFFSET(plates!$B$95,CODE(LEFT(B881,1))-64,MID(B881,2,3)+0)&amp;""</f>
        <v/>
      </c>
      <c r="F881" s="46"/>
      <c r="G881" s="47"/>
      <c r="H881" s="47"/>
    </row>
    <row r="882" customFormat="false" ht="12.8" hidden="false" customHeight="false" outlineLevel="0" collapsed="false">
      <c r="A882" s="44" t="n">
        <v>10</v>
      </c>
      <c r="B882" s="44" t="s">
        <v>174</v>
      </c>
      <c r="C882" s="44" t="s">
        <v>158</v>
      </c>
      <c r="D882" s="45" t="str">
        <f aca="true">OFFSET(plates!$B$95,CODE(LEFT(B882,1))-64,-1)&amp;"-"&amp;OFFSET(plates!$B$55,-1,MID(B882,2,3)+0)</f>
        <v>bc411-bc298</v>
      </c>
      <c r="E882" s="46" t="str">
        <f aca="true">OFFSET(plates!$B$95,CODE(LEFT(B882,1))-64,MID(B882,2,3)+0)&amp;""</f>
        <v/>
      </c>
      <c r="F882" s="46"/>
      <c r="G882" s="47"/>
      <c r="H882" s="47"/>
    </row>
    <row r="883" customFormat="false" ht="12.8" hidden="false" customHeight="false" outlineLevel="0" collapsed="false">
      <c r="A883" s="44" t="n">
        <v>10</v>
      </c>
      <c r="B883" s="44" t="s">
        <v>175</v>
      </c>
      <c r="C883" s="44" t="s">
        <v>158</v>
      </c>
      <c r="D883" s="45" t="str">
        <f aca="true">OFFSET(plates!$B$95,CODE(LEFT(B883,1))-64,-1)&amp;"-"&amp;OFFSET(plates!$B$55,-1,MID(B883,2,3)+0)</f>
        <v>bc418-bc298</v>
      </c>
      <c r="E883" s="46" t="str">
        <f aca="true">OFFSET(plates!$B$95,CODE(LEFT(B883,1))-64,MID(B883,2,3)+0)&amp;""</f>
        <v/>
      </c>
      <c r="F883" s="46"/>
      <c r="G883" s="47"/>
      <c r="H883" s="47"/>
    </row>
    <row r="884" customFormat="false" ht="12.8" hidden="false" customHeight="false" outlineLevel="0" collapsed="false">
      <c r="A884" s="44" t="n">
        <v>10</v>
      </c>
      <c r="B884" s="44" t="s">
        <v>176</v>
      </c>
      <c r="C884" s="44" t="s">
        <v>158</v>
      </c>
      <c r="D884" s="45" t="str">
        <f aca="true">OFFSET(plates!$B$95,CODE(LEFT(B884,1))-64,-1)&amp;"-"&amp;OFFSET(plates!$B$55,-1,MID(B884,2,3)+0)</f>
        <v>bc449-bc298</v>
      </c>
      <c r="E884" s="46" t="str">
        <f aca="true">OFFSET(plates!$B$95,CODE(LEFT(B884,1))-64,MID(B884,2,3)+0)&amp;""</f>
        <v/>
      </c>
      <c r="F884" s="46"/>
      <c r="G884" s="47"/>
      <c r="H884" s="47"/>
    </row>
    <row r="885" customFormat="false" ht="12.8" hidden="false" customHeight="false" outlineLevel="0" collapsed="false">
      <c r="A885" s="44" t="n">
        <v>10</v>
      </c>
      <c r="B885" s="44" t="s">
        <v>177</v>
      </c>
      <c r="C885" s="44" t="s">
        <v>158</v>
      </c>
      <c r="D885" s="45" t="str">
        <f aca="true">OFFSET(plates!$B$95,CODE(LEFT(B885,1))-64,-1)&amp;"-"&amp;OFFSET(plates!$B$55,-1,MID(B885,2,3)+0)</f>
        <v>bc462-bc298</v>
      </c>
      <c r="E885" s="46" t="str">
        <f aca="true">OFFSET(plates!$B$95,CODE(LEFT(B885,1))-64,MID(B885,2,3)+0)&amp;""</f>
        <v/>
      </c>
      <c r="F885" s="46"/>
      <c r="G885" s="47"/>
      <c r="H885" s="47"/>
    </row>
    <row r="886" customFormat="false" ht="12.8" hidden="false" customHeight="false" outlineLevel="0" collapsed="false">
      <c r="A886" s="44" t="n">
        <v>10</v>
      </c>
      <c r="B886" s="44" t="s">
        <v>178</v>
      </c>
      <c r="C886" s="44" t="s">
        <v>158</v>
      </c>
      <c r="D886" s="45" t="str">
        <f aca="true">OFFSET(plates!$B$95,CODE(LEFT(B886,1))-64,-1)&amp;"-"&amp;OFFSET(plates!$B$55,-1,MID(B886,2,3)+0)</f>
        <v>bc485-bc298</v>
      </c>
      <c r="E886" s="46" t="str">
        <f aca="true">OFFSET(plates!$B$95,CODE(LEFT(B886,1))-64,MID(B886,2,3)+0)&amp;""</f>
        <v/>
      </c>
      <c r="F886" s="46"/>
      <c r="G886" s="47"/>
      <c r="H886" s="47"/>
    </row>
    <row r="887" customFormat="false" ht="12.8" hidden="false" customHeight="false" outlineLevel="0" collapsed="false">
      <c r="A887" s="44" t="n">
        <v>10</v>
      </c>
      <c r="B887" s="44" t="s">
        <v>179</v>
      </c>
      <c r="C887" s="44" t="s">
        <v>158</v>
      </c>
      <c r="D887" s="45" t="str">
        <f aca="true">OFFSET(plates!$B$95,CODE(LEFT(B887,1))-64,-1)&amp;"-"&amp;OFFSET(plates!$B$55,-1,MID(B887,2,3)+0)</f>
        <v>bc486-bc298</v>
      </c>
      <c r="E887" s="46" t="str">
        <f aca="true">OFFSET(plates!$B$95,CODE(LEFT(B887,1))-64,MID(B887,2,3)+0)&amp;""</f>
        <v/>
      </c>
      <c r="F887" s="46"/>
      <c r="G887" s="47"/>
      <c r="H887" s="47"/>
    </row>
    <row r="888" customFormat="false" ht="12.8" hidden="false" customHeight="false" outlineLevel="0" collapsed="false">
      <c r="A888" s="44" t="n">
        <v>10</v>
      </c>
      <c r="B888" s="44" t="s">
        <v>180</v>
      </c>
      <c r="C888" s="44" t="s">
        <v>158</v>
      </c>
      <c r="D888" s="45" t="str">
        <f aca="true">OFFSET(plates!$B$95,CODE(LEFT(B888,1))-64,-1)&amp;"-"&amp;OFFSET(plates!$B$55,-1,MID(B888,2,3)+0)</f>
        <v>bc494-bc298</v>
      </c>
      <c r="E888" s="46" t="str">
        <f aca="true">OFFSET(plates!$B$95,CODE(LEFT(B888,1))-64,MID(B888,2,3)+0)&amp;""</f>
        <v/>
      </c>
      <c r="F888" s="46"/>
      <c r="G888" s="47"/>
      <c r="H888" s="47"/>
    </row>
    <row r="889" customFormat="false" ht="12.8" hidden="false" customHeight="false" outlineLevel="0" collapsed="false">
      <c r="A889" s="44" t="n">
        <v>10</v>
      </c>
      <c r="B889" s="44" t="s">
        <v>181</v>
      </c>
      <c r="C889" s="44" t="s">
        <v>158</v>
      </c>
      <c r="D889" s="45" t="str">
        <f aca="true">OFFSET(plates!$B$95,CODE(LEFT(B889,1))-64,-1)&amp;"-"&amp;OFFSET(plates!$B$55,-1,MID(B889,2,3)+0)</f>
        <v>bc538-bc298</v>
      </c>
      <c r="E889" s="46" t="str">
        <f aca="true">OFFSET(plates!$B$95,CODE(LEFT(B889,1))-64,MID(B889,2,3)+0)&amp;""</f>
        <v/>
      </c>
      <c r="F889" s="46"/>
      <c r="G889" s="47"/>
      <c r="H889" s="47"/>
    </row>
    <row r="890" customFormat="false" ht="12.8" hidden="false" customHeight="false" outlineLevel="0" collapsed="false">
      <c r="A890" s="44" t="n">
        <v>10</v>
      </c>
      <c r="B890" s="44" t="s">
        <v>182</v>
      </c>
      <c r="C890" s="44" t="s">
        <v>158</v>
      </c>
      <c r="D890" s="45" t="str">
        <f aca="true">OFFSET(plates!$B$95,CODE(LEFT(B890,1))-64,-1)&amp;"-"&amp;OFFSET(plates!$B$55,-1,MID(B890,2,3)+0)</f>
        <v>bc411-bc310</v>
      </c>
      <c r="E890" s="46" t="str">
        <f aca="true">OFFSET(plates!$B$95,CODE(LEFT(B890,1))-64,MID(B890,2,3)+0)&amp;""</f>
        <v/>
      </c>
      <c r="F890" s="46"/>
      <c r="G890" s="47"/>
      <c r="H890" s="47"/>
    </row>
    <row r="891" customFormat="false" ht="12.8" hidden="false" customHeight="false" outlineLevel="0" collapsed="false">
      <c r="A891" s="44" t="n">
        <v>10</v>
      </c>
      <c r="B891" s="44" t="s">
        <v>183</v>
      </c>
      <c r="C891" s="44" t="s">
        <v>158</v>
      </c>
      <c r="D891" s="45" t="str">
        <f aca="true">OFFSET(plates!$B$95,CODE(LEFT(B891,1))-64,-1)&amp;"-"&amp;OFFSET(plates!$B$55,-1,MID(B891,2,3)+0)</f>
        <v>bc418-bc310</v>
      </c>
      <c r="E891" s="46" t="str">
        <f aca="true">OFFSET(plates!$B$95,CODE(LEFT(B891,1))-64,MID(B891,2,3)+0)&amp;""</f>
        <v/>
      </c>
      <c r="F891" s="46"/>
      <c r="G891" s="47"/>
      <c r="H891" s="47"/>
    </row>
    <row r="892" customFormat="false" ht="12.8" hidden="false" customHeight="false" outlineLevel="0" collapsed="false">
      <c r="A892" s="44" t="n">
        <v>10</v>
      </c>
      <c r="B892" s="44" t="s">
        <v>184</v>
      </c>
      <c r="C892" s="44" t="s">
        <v>158</v>
      </c>
      <c r="D892" s="45" t="str">
        <f aca="true">OFFSET(plates!$B$95,CODE(LEFT(B892,1))-64,-1)&amp;"-"&amp;OFFSET(plates!$B$55,-1,MID(B892,2,3)+0)</f>
        <v>bc449-bc310</v>
      </c>
      <c r="E892" s="46" t="str">
        <f aca="true">OFFSET(plates!$B$95,CODE(LEFT(B892,1))-64,MID(B892,2,3)+0)&amp;""</f>
        <v/>
      </c>
      <c r="F892" s="46"/>
      <c r="G892" s="47"/>
      <c r="H892" s="47"/>
    </row>
    <row r="893" customFormat="false" ht="12.8" hidden="false" customHeight="false" outlineLevel="0" collapsed="false">
      <c r="A893" s="44" t="n">
        <v>10</v>
      </c>
      <c r="B893" s="44" t="s">
        <v>185</v>
      </c>
      <c r="C893" s="44" t="s">
        <v>158</v>
      </c>
      <c r="D893" s="45" t="str">
        <f aca="true">OFFSET(plates!$B$95,CODE(LEFT(B893,1))-64,-1)&amp;"-"&amp;OFFSET(plates!$B$55,-1,MID(B893,2,3)+0)</f>
        <v>bc462-bc310</v>
      </c>
      <c r="E893" s="46" t="str">
        <f aca="true">OFFSET(plates!$B$95,CODE(LEFT(B893,1))-64,MID(B893,2,3)+0)&amp;""</f>
        <v/>
      </c>
      <c r="F893" s="46"/>
      <c r="G893" s="47"/>
      <c r="H893" s="47"/>
    </row>
    <row r="894" customFormat="false" ht="12.8" hidden="false" customHeight="false" outlineLevel="0" collapsed="false">
      <c r="A894" s="44" t="n">
        <v>10</v>
      </c>
      <c r="B894" s="44" t="s">
        <v>186</v>
      </c>
      <c r="C894" s="44" t="s">
        <v>158</v>
      </c>
      <c r="D894" s="45" t="str">
        <f aca="true">OFFSET(plates!$B$95,CODE(LEFT(B894,1))-64,-1)&amp;"-"&amp;OFFSET(plates!$B$55,-1,MID(B894,2,3)+0)</f>
        <v>bc485-bc310</v>
      </c>
      <c r="E894" s="46" t="str">
        <f aca="true">OFFSET(plates!$B$95,CODE(LEFT(B894,1))-64,MID(B894,2,3)+0)&amp;""</f>
        <v/>
      </c>
      <c r="F894" s="46"/>
      <c r="G894" s="47"/>
      <c r="H894" s="47"/>
    </row>
    <row r="895" customFormat="false" ht="12.8" hidden="false" customHeight="false" outlineLevel="0" collapsed="false">
      <c r="A895" s="44" t="n">
        <v>10</v>
      </c>
      <c r="B895" s="44" t="s">
        <v>187</v>
      </c>
      <c r="C895" s="44" t="s">
        <v>158</v>
      </c>
      <c r="D895" s="45" t="str">
        <f aca="true">OFFSET(plates!$B$95,CODE(LEFT(B895,1))-64,-1)&amp;"-"&amp;OFFSET(plates!$B$55,-1,MID(B895,2,3)+0)</f>
        <v>bc486-bc310</v>
      </c>
      <c r="E895" s="46" t="str">
        <f aca="true">OFFSET(plates!$B$95,CODE(LEFT(B895,1))-64,MID(B895,2,3)+0)&amp;""</f>
        <v/>
      </c>
      <c r="F895" s="46"/>
      <c r="G895" s="47"/>
      <c r="H895" s="47"/>
    </row>
    <row r="896" customFormat="false" ht="12.8" hidden="false" customHeight="false" outlineLevel="0" collapsed="false">
      <c r="A896" s="44" t="n">
        <v>10</v>
      </c>
      <c r="B896" s="44" t="s">
        <v>188</v>
      </c>
      <c r="C896" s="44" t="s">
        <v>158</v>
      </c>
      <c r="D896" s="45" t="str">
        <f aca="true">OFFSET(plates!$B$95,CODE(LEFT(B896,1))-64,-1)&amp;"-"&amp;OFFSET(plates!$B$55,-1,MID(B896,2,3)+0)</f>
        <v>bc494-bc310</v>
      </c>
      <c r="E896" s="46" t="str">
        <f aca="true">OFFSET(plates!$B$95,CODE(LEFT(B896,1))-64,MID(B896,2,3)+0)&amp;""</f>
        <v/>
      </c>
      <c r="F896" s="46"/>
      <c r="G896" s="47"/>
      <c r="H896" s="47"/>
    </row>
    <row r="897" customFormat="false" ht="12.8" hidden="false" customHeight="false" outlineLevel="0" collapsed="false">
      <c r="A897" s="44" t="n">
        <v>10</v>
      </c>
      <c r="B897" s="44" t="s">
        <v>189</v>
      </c>
      <c r="C897" s="44" t="s">
        <v>158</v>
      </c>
      <c r="D897" s="45" t="str">
        <f aca="true">OFFSET(plates!$B$95,CODE(LEFT(B897,1))-64,-1)&amp;"-"&amp;OFFSET(plates!$B$55,-1,MID(B897,2,3)+0)</f>
        <v>bc538-bc310</v>
      </c>
      <c r="E897" s="46" t="str">
        <f aca="true">OFFSET(plates!$B$95,CODE(LEFT(B897,1))-64,MID(B897,2,3)+0)&amp;""</f>
        <v/>
      </c>
      <c r="F897" s="46"/>
      <c r="G897" s="47"/>
      <c r="H897" s="47"/>
    </row>
    <row r="898" customFormat="false" ht="12.8" hidden="false" customHeight="false" outlineLevel="0" collapsed="false">
      <c r="A898" s="44" t="n">
        <v>10</v>
      </c>
      <c r="B898" s="44" t="s">
        <v>190</v>
      </c>
      <c r="C898" s="44" t="s">
        <v>158</v>
      </c>
      <c r="D898" s="45" t="str">
        <f aca="true">OFFSET(plates!$B$95,CODE(LEFT(B898,1))-64,-1)&amp;"-"&amp;OFFSET(plates!$B$55,-1,MID(B898,2,3)+0)</f>
        <v>bc411-bc314</v>
      </c>
      <c r="E898" s="46" t="str">
        <f aca="true">OFFSET(plates!$B$95,CODE(LEFT(B898,1))-64,MID(B898,2,3)+0)&amp;""</f>
        <v/>
      </c>
      <c r="F898" s="46"/>
      <c r="G898" s="47"/>
      <c r="H898" s="47"/>
    </row>
    <row r="899" customFormat="false" ht="12.8" hidden="false" customHeight="false" outlineLevel="0" collapsed="false">
      <c r="A899" s="44" t="n">
        <v>10</v>
      </c>
      <c r="B899" s="44" t="s">
        <v>191</v>
      </c>
      <c r="C899" s="44" t="s">
        <v>158</v>
      </c>
      <c r="D899" s="45" t="str">
        <f aca="true">OFFSET(plates!$B$95,CODE(LEFT(B899,1))-64,-1)&amp;"-"&amp;OFFSET(plates!$B$55,-1,MID(B899,2,3)+0)</f>
        <v>bc418-bc314</v>
      </c>
      <c r="E899" s="46" t="str">
        <f aca="true">OFFSET(plates!$B$95,CODE(LEFT(B899,1))-64,MID(B899,2,3)+0)&amp;""</f>
        <v/>
      </c>
      <c r="F899" s="46"/>
      <c r="G899" s="47"/>
      <c r="H899" s="47"/>
    </row>
    <row r="900" customFormat="false" ht="12.8" hidden="false" customHeight="false" outlineLevel="0" collapsed="false">
      <c r="A900" s="44" t="n">
        <v>10</v>
      </c>
      <c r="B900" s="44" t="s">
        <v>192</v>
      </c>
      <c r="C900" s="44" t="s">
        <v>158</v>
      </c>
      <c r="D900" s="45" t="str">
        <f aca="true">OFFSET(plates!$B$95,CODE(LEFT(B900,1))-64,-1)&amp;"-"&amp;OFFSET(plates!$B$55,-1,MID(B900,2,3)+0)</f>
        <v>bc449-bc314</v>
      </c>
      <c r="E900" s="46" t="str">
        <f aca="true">OFFSET(plates!$B$95,CODE(LEFT(B900,1))-64,MID(B900,2,3)+0)&amp;""</f>
        <v/>
      </c>
      <c r="F900" s="46"/>
      <c r="G900" s="47"/>
      <c r="H900" s="47"/>
    </row>
    <row r="901" customFormat="false" ht="12.8" hidden="false" customHeight="false" outlineLevel="0" collapsed="false">
      <c r="A901" s="44" t="n">
        <v>10</v>
      </c>
      <c r="B901" s="44" t="s">
        <v>193</v>
      </c>
      <c r="C901" s="44" t="s">
        <v>158</v>
      </c>
      <c r="D901" s="45" t="str">
        <f aca="true">OFFSET(plates!$B$95,CODE(LEFT(B901,1))-64,-1)&amp;"-"&amp;OFFSET(plates!$B$55,-1,MID(B901,2,3)+0)</f>
        <v>bc462-bc314</v>
      </c>
      <c r="E901" s="46" t="str">
        <f aca="true">OFFSET(plates!$B$95,CODE(LEFT(B901,1))-64,MID(B901,2,3)+0)&amp;""</f>
        <v/>
      </c>
      <c r="F901" s="46"/>
      <c r="G901" s="47"/>
      <c r="H901" s="47"/>
    </row>
    <row r="902" customFormat="false" ht="12.8" hidden="false" customHeight="false" outlineLevel="0" collapsed="false">
      <c r="A902" s="44" t="n">
        <v>10</v>
      </c>
      <c r="B902" s="44" t="s">
        <v>194</v>
      </c>
      <c r="C902" s="44" t="s">
        <v>158</v>
      </c>
      <c r="D902" s="45" t="str">
        <f aca="true">OFFSET(plates!$B$95,CODE(LEFT(B902,1))-64,-1)&amp;"-"&amp;OFFSET(plates!$B$55,-1,MID(B902,2,3)+0)</f>
        <v>bc485-bc314</v>
      </c>
      <c r="E902" s="46" t="str">
        <f aca="true">OFFSET(plates!$B$95,CODE(LEFT(B902,1))-64,MID(B902,2,3)+0)&amp;""</f>
        <v/>
      </c>
      <c r="F902" s="46"/>
      <c r="G902" s="47"/>
      <c r="H902" s="47"/>
    </row>
    <row r="903" customFormat="false" ht="12.8" hidden="false" customHeight="false" outlineLevel="0" collapsed="false">
      <c r="A903" s="44" t="n">
        <v>10</v>
      </c>
      <c r="B903" s="44" t="s">
        <v>195</v>
      </c>
      <c r="C903" s="44" t="s">
        <v>158</v>
      </c>
      <c r="D903" s="45" t="str">
        <f aca="true">OFFSET(plates!$B$95,CODE(LEFT(B903,1))-64,-1)&amp;"-"&amp;OFFSET(plates!$B$55,-1,MID(B903,2,3)+0)</f>
        <v>bc486-bc314</v>
      </c>
      <c r="E903" s="46" t="str">
        <f aca="true">OFFSET(plates!$B$95,CODE(LEFT(B903,1))-64,MID(B903,2,3)+0)&amp;""</f>
        <v/>
      </c>
      <c r="F903" s="46"/>
      <c r="G903" s="47"/>
      <c r="H903" s="47"/>
    </row>
    <row r="904" customFormat="false" ht="12.8" hidden="false" customHeight="false" outlineLevel="0" collapsed="false">
      <c r="A904" s="44" t="n">
        <v>10</v>
      </c>
      <c r="B904" s="44" t="s">
        <v>196</v>
      </c>
      <c r="C904" s="44" t="s">
        <v>158</v>
      </c>
      <c r="D904" s="45" t="str">
        <f aca="true">OFFSET(plates!$B$95,CODE(LEFT(B904,1))-64,-1)&amp;"-"&amp;OFFSET(plates!$B$55,-1,MID(B904,2,3)+0)</f>
        <v>bc494-bc314</v>
      </c>
      <c r="E904" s="46" t="str">
        <f aca="true">OFFSET(plates!$B$95,CODE(LEFT(B904,1))-64,MID(B904,2,3)+0)&amp;""</f>
        <v/>
      </c>
      <c r="F904" s="46"/>
      <c r="G904" s="47"/>
      <c r="H904" s="47"/>
    </row>
    <row r="905" customFormat="false" ht="12.8" hidden="false" customHeight="false" outlineLevel="0" collapsed="false">
      <c r="A905" s="44" t="n">
        <v>10</v>
      </c>
      <c r="B905" s="44" t="s">
        <v>197</v>
      </c>
      <c r="C905" s="44" t="s">
        <v>158</v>
      </c>
      <c r="D905" s="45" t="str">
        <f aca="true">OFFSET(plates!$B$95,CODE(LEFT(B905,1))-64,-1)&amp;"-"&amp;OFFSET(plates!$B$55,-1,MID(B905,2,3)+0)</f>
        <v>bc538-bc314</v>
      </c>
      <c r="E905" s="46" t="str">
        <f aca="true">OFFSET(plates!$B$95,CODE(LEFT(B905,1))-64,MID(B905,2,3)+0)&amp;""</f>
        <v/>
      </c>
      <c r="F905" s="46"/>
      <c r="G905" s="47"/>
      <c r="H905" s="47"/>
    </row>
    <row r="906" customFormat="false" ht="12.8" hidden="false" customHeight="false" outlineLevel="0" collapsed="false">
      <c r="A906" s="44" t="n">
        <v>10</v>
      </c>
      <c r="B906" s="44" t="s">
        <v>198</v>
      </c>
      <c r="C906" s="44" t="s">
        <v>158</v>
      </c>
      <c r="D906" s="45" t="str">
        <f aca="true">OFFSET(plates!$B$95,CODE(LEFT(B906,1))-64,-1)&amp;"-"&amp;OFFSET(plates!$B$55,-1,MID(B906,2,3)+0)</f>
        <v>bc411-bc336</v>
      </c>
      <c r="E906" s="46" t="str">
        <f aca="true">OFFSET(plates!$B$95,CODE(LEFT(B906,1))-64,MID(B906,2,3)+0)&amp;""</f>
        <v/>
      </c>
      <c r="F906" s="46"/>
      <c r="G906" s="47"/>
      <c r="H906" s="47"/>
    </row>
    <row r="907" customFormat="false" ht="12.8" hidden="false" customHeight="false" outlineLevel="0" collapsed="false">
      <c r="A907" s="44" t="n">
        <v>10</v>
      </c>
      <c r="B907" s="44" t="s">
        <v>199</v>
      </c>
      <c r="C907" s="44" t="s">
        <v>158</v>
      </c>
      <c r="D907" s="45" t="str">
        <f aca="true">OFFSET(plates!$B$95,CODE(LEFT(B907,1))-64,-1)&amp;"-"&amp;OFFSET(plates!$B$55,-1,MID(B907,2,3)+0)</f>
        <v>bc418-bc336</v>
      </c>
      <c r="E907" s="46" t="str">
        <f aca="true">OFFSET(plates!$B$95,CODE(LEFT(B907,1))-64,MID(B907,2,3)+0)&amp;""</f>
        <v/>
      </c>
      <c r="F907" s="46"/>
      <c r="G907" s="47"/>
      <c r="H907" s="47"/>
    </row>
    <row r="908" customFormat="false" ht="12.8" hidden="false" customHeight="false" outlineLevel="0" collapsed="false">
      <c r="A908" s="44" t="n">
        <v>10</v>
      </c>
      <c r="B908" s="44" t="s">
        <v>200</v>
      </c>
      <c r="C908" s="44" t="s">
        <v>158</v>
      </c>
      <c r="D908" s="45" t="str">
        <f aca="true">OFFSET(plates!$B$95,CODE(LEFT(B908,1))-64,-1)&amp;"-"&amp;OFFSET(plates!$B$55,-1,MID(B908,2,3)+0)</f>
        <v>bc449-bc336</v>
      </c>
      <c r="E908" s="46" t="str">
        <f aca="true">OFFSET(plates!$B$95,CODE(LEFT(B908,1))-64,MID(B908,2,3)+0)&amp;""</f>
        <v/>
      </c>
      <c r="F908" s="46"/>
      <c r="G908" s="47"/>
      <c r="H908" s="47"/>
    </row>
    <row r="909" customFormat="false" ht="12.8" hidden="false" customHeight="false" outlineLevel="0" collapsed="false">
      <c r="A909" s="44" t="n">
        <v>10</v>
      </c>
      <c r="B909" s="44" t="s">
        <v>201</v>
      </c>
      <c r="C909" s="44" t="s">
        <v>158</v>
      </c>
      <c r="D909" s="45" t="str">
        <f aca="true">OFFSET(plates!$B$95,CODE(LEFT(B909,1))-64,-1)&amp;"-"&amp;OFFSET(plates!$B$55,-1,MID(B909,2,3)+0)</f>
        <v>bc462-bc336</v>
      </c>
      <c r="E909" s="46" t="str">
        <f aca="true">OFFSET(plates!$B$95,CODE(LEFT(B909,1))-64,MID(B909,2,3)+0)&amp;""</f>
        <v/>
      </c>
      <c r="F909" s="46"/>
      <c r="G909" s="47"/>
      <c r="H909" s="47"/>
    </row>
    <row r="910" customFormat="false" ht="12.8" hidden="false" customHeight="false" outlineLevel="0" collapsed="false">
      <c r="A910" s="44" t="n">
        <v>10</v>
      </c>
      <c r="B910" s="44" t="s">
        <v>202</v>
      </c>
      <c r="C910" s="44" t="s">
        <v>158</v>
      </c>
      <c r="D910" s="45" t="str">
        <f aca="true">OFFSET(plates!$B$95,CODE(LEFT(B910,1))-64,-1)&amp;"-"&amp;OFFSET(plates!$B$55,-1,MID(B910,2,3)+0)</f>
        <v>bc485-bc336</v>
      </c>
      <c r="E910" s="46" t="str">
        <f aca="true">OFFSET(plates!$B$95,CODE(LEFT(B910,1))-64,MID(B910,2,3)+0)&amp;""</f>
        <v/>
      </c>
      <c r="F910" s="46"/>
      <c r="G910" s="47"/>
      <c r="H910" s="47"/>
    </row>
    <row r="911" customFormat="false" ht="12.8" hidden="false" customHeight="false" outlineLevel="0" collapsed="false">
      <c r="A911" s="44" t="n">
        <v>10</v>
      </c>
      <c r="B911" s="44" t="s">
        <v>203</v>
      </c>
      <c r="C911" s="44" t="s">
        <v>158</v>
      </c>
      <c r="D911" s="45" t="str">
        <f aca="true">OFFSET(plates!$B$95,CODE(LEFT(B911,1))-64,-1)&amp;"-"&amp;OFFSET(plates!$B$55,-1,MID(B911,2,3)+0)</f>
        <v>bc486-bc336</v>
      </c>
      <c r="E911" s="46" t="str">
        <f aca="true">OFFSET(plates!$B$95,CODE(LEFT(B911,1))-64,MID(B911,2,3)+0)&amp;""</f>
        <v/>
      </c>
      <c r="F911" s="46"/>
      <c r="G911" s="47"/>
      <c r="H911" s="47"/>
    </row>
    <row r="912" customFormat="false" ht="12.8" hidden="false" customHeight="false" outlineLevel="0" collapsed="false">
      <c r="A912" s="44" t="n">
        <v>10</v>
      </c>
      <c r="B912" s="44" t="s">
        <v>204</v>
      </c>
      <c r="C912" s="44" t="s">
        <v>158</v>
      </c>
      <c r="D912" s="45" t="str">
        <f aca="true">OFFSET(plates!$B$95,CODE(LEFT(B912,1))-64,-1)&amp;"-"&amp;OFFSET(plates!$B$55,-1,MID(B912,2,3)+0)</f>
        <v>bc494-bc336</v>
      </c>
      <c r="E912" s="46" t="str">
        <f aca="true">OFFSET(plates!$B$95,CODE(LEFT(B912,1))-64,MID(B912,2,3)+0)&amp;""</f>
        <v/>
      </c>
      <c r="F912" s="46"/>
      <c r="G912" s="47"/>
      <c r="H912" s="47"/>
    </row>
    <row r="913" customFormat="false" ht="12.8" hidden="false" customHeight="false" outlineLevel="0" collapsed="false">
      <c r="A913" s="44" t="n">
        <v>10</v>
      </c>
      <c r="B913" s="44" t="s">
        <v>205</v>
      </c>
      <c r="C913" s="44" t="s">
        <v>158</v>
      </c>
      <c r="D913" s="45" t="str">
        <f aca="true">OFFSET(plates!$B$95,CODE(LEFT(B913,1))-64,-1)&amp;"-"&amp;OFFSET(plates!$B$55,-1,MID(B913,2,3)+0)</f>
        <v>bc538-bc336</v>
      </c>
      <c r="E913" s="46" t="str">
        <f aca="true">OFFSET(plates!$B$95,CODE(LEFT(B913,1))-64,MID(B913,2,3)+0)&amp;""</f>
        <v/>
      </c>
      <c r="F913" s="46"/>
      <c r="G913" s="47"/>
      <c r="H913" s="47"/>
    </row>
    <row r="914" customFormat="false" ht="12.8" hidden="false" customHeight="false" outlineLevel="0" collapsed="false">
      <c r="A914" s="44" t="n">
        <v>10</v>
      </c>
      <c r="B914" s="44" t="s">
        <v>206</v>
      </c>
      <c r="C914" s="44" t="s">
        <v>158</v>
      </c>
      <c r="D914" s="45" t="str">
        <f aca="true">OFFSET(plates!$B$95,CODE(LEFT(B914,1))-64,-1)&amp;"-"&amp;OFFSET(plates!$B$55,-1,MID(B914,2,3)+0)</f>
        <v>bc411-bc365</v>
      </c>
      <c r="E914" s="46" t="str">
        <f aca="true">OFFSET(plates!$B$95,CODE(LEFT(B914,1))-64,MID(B914,2,3)+0)&amp;""</f>
        <v/>
      </c>
      <c r="F914" s="46"/>
      <c r="G914" s="47"/>
      <c r="H914" s="47"/>
    </row>
    <row r="915" customFormat="false" ht="12.8" hidden="false" customHeight="false" outlineLevel="0" collapsed="false">
      <c r="A915" s="44" t="n">
        <v>10</v>
      </c>
      <c r="B915" s="44" t="s">
        <v>207</v>
      </c>
      <c r="C915" s="44" t="s">
        <v>158</v>
      </c>
      <c r="D915" s="45" t="str">
        <f aca="true">OFFSET(plates!$B$95,CODE(LEFT(B915,1))-64,-1)&amp;"-"&amp;OFFSET(plates!$B$55,-1,MID(B915,2,3)+0)</f>
        <v>bc418-bc365</v>
      </c>
      <c r="E915" s="46" t="str">
        <f aca="true">OFFSET(plates!$B$95,CODE(LEFT(B915,1))-64,MID(B915,2,3)+0)&amp;""</f>
        <v/>
      </c>
      <c r="F915" s="46"/>
      <c r="G915" s="47"/>
      <c r="H915" s="47"/>
    </row>
    <row r="916" customFormat="false" ht="12.8" hidden="false" customHeight="false" outlineLevel="0" collapsed="false">
      <c r="A916" s="44" t="n">
        <v>10</v>
      </c>
      <c r="B916" s="44" t="s">
        <v>208</v>
      </c>
      <c r="C916" s="44" t="s">
        <v>158</v>
      </c>
      <c r="D916" s="45" t="str">
        <f aca="true">OFFSET(plates!$B$95,CODE(LEFT(B916,1))-64,-1)&amp;"-"&amp;OFFSET(plates!$B$55,-1,MID(B916,2,3)+0)</f>
        <v>bc449-bc365</v>
      </c>
      <c r="E916" s="46" t="str">
        <f aca="true">OFFSET(plates!$B$95,CODE(LEFT(B916,1))-64,MID(B916,2,3)+0)&amp;""</f>
        <v/>
      </c>
      <c r="F916" s="46"/>
      <c r="G916" s="47"/>
      <c r="H916" s="47"/>
    </row>
    <row r="917" customFormat="false" ht="12.8" hidden="false" customHeight="false" outlineLevel="0" collapsed="false">
      <c r="A917" s="44" t="n">
        <v>10</v>
      </c>
      <c r="B917" s="44" t="s">
        <v>209</v>
      </c>
      <c r="C917" s="44" t="s">
        <v>158</v>
      </c>
      <c r="D917" s="45" t="str">
        <f aca="true">OFFSET(plates!$B$95,CODE(LEFT(B917,1))-64,-1)&amp;"-"&amp;OFFSET(plates!$B$55,-1,MID(B917,2,3)+0)</f>
        <v>bc462-bc365</v>
      </c>
      <c r="E917" s="46" t="str">
        <f aca="true">OFFSET(plates!$B$95,CODE(LEFT(B917,1))-64,MID(B917,2,3)+0)&amp;""</f>
        <v/>
      </c>
      <c r="F917" s="46"/>
      <c r="G917" s="47"/>
      <c r="H917" s="47"/>
    </row>
    <row r="918" customFormat="false" ht="12.8" hidden="false" customHeight="false" outlineLevel="0" collapsed="false">
      <c r="A918" s="44" t="n">
        <v>10</v>
      </c>
      <c r="B918" s="44" t="s">
        <v>210</v>
      </c>
      <c r="C918" s="44" t="s">
        <v>158</v>
      </c>
      <c r="D918" s="45" t="str">
        <f aca="true">OFFSET(plates!$B$95,CODE(LEFT(B918,1))-64,-1)&amp;"-"&amp;OFFSET(plates!$B$55,-1,MID(B918,2,3)+0)</f>
        <v>bc485-bc365</v>
      </c>
      <c r="E918" s="46" t="str">
        <f aca="true">OFFSET(plates!$B$95,CODE(LEFT(B918,1))-64,MID(B918,2,3)+0)&amp;""</f>
        <v/>
      </c>
      <c r="F918" s="46"/>
      <c r="G918" s="47"/>
      <c r="H918" s="47"/>
    </row>
    <row r="919" customFormat="false" ht="12.8" hidden="false" customHeight="false" outlineLevel="0" collapsed="false">
      <c r="A919" s="44" t="n">
        <v>10</v>
      </c>
      <c r="B919" s="44" t="s">
        <v>211</v>
      </c>
      <c r="C919" s="44" t="s">
        <v>158</v>
      </c>
      <c r="D919" s="45" t="str">
        <f aca="true">OFFSET(plates!$B$95,CODE(LEFT(B919,1))-64,-1)&amp;"-"&amp;OFFSET(plates!$B$55,-1,MID(B919,2,3)+0)</f>
        <v>bc486-bc365</v>
      </c>
      <c r="E919" s="46" t="str">
        <f aca="true">OFFSET(plates!$B$95,CODE(LEFT(B919,1))-64,MID(B919,2,3)+0)&amp;""</f>
        <v/>
      </c>
      <c r="F919" s="46"/>
      <c r="G919" s="47"/>
      <c r="H919" s="47"/>
    </row>
    <row r="920" customFormat="false" ht="12.8" hidden="false" customHeight="false" outlineLevel="0" collapsed="false">
      <c r="A920" s="44" t="n">
        <v>10</v>
      </c>
      <c r="B920" s="44" t="s">
        <v>212</v>
      </c>
      <c r="C920" s="44" t="s">
        <v>158</v>
      </c>
      <c r="D920" s="45" t="str">
        <f aca="true">OFFSET(plates!$B$95,CODE(LEFT(B920,1))-64,-1)&amp;"-"&amp;OFFSET(plates!$B$55,-1,MID(B920,2,3)+0)</f>
        <v>bc494-bc365</v>
      </c>
      <c r="E920" s="46" t="str">
        <f aca="true">OFFSET(plates!$B$95,CODE(LEFT(B920,1))-64,MID(B920,2,3)+0)&amp;""</f>
        <v/>
      </c>
      <c r="F920" s="46"/>
      <c r="G920" s="47"/>
      <c r="H920" s="47"/>
    </row>
    <row r="921" customFormat="false" ht="12.8" hidden="false" customHeight="false" outlineLevel="0" collapsed="false">
      <c r="A921" s="44" t="n">
        <v>10</v>
      </c>
      <c r="B921" s="44" t="s">
        <v>213</v>
      </c>
      <c r="C921" s="44" t="s">
        <v>158</v>
      </c>
      <c r="D921" s="45" t="str">
        <f aca="true">OFFSET(plates!$B$95,CODE(LEFT(B921,1))-64,-1)&amp;"-"&amp;OFFSET(plates!$B$55,-1,MID(B921,2,3)+0)</f>
        <v>bc538-bc365</v>
      </c>
      <c r="E921" s="46" t="str">
        <f aca="true">OFFSET(plates!$B$95,CODE(LEFT(B921,1))-64,MID(B921,2,3)+0)&amp;""</f>
        <v/>
      </c>
      <c r="F921" s="46"/>
      <c r="G921" s="47"/>
      <c r="H921" s="47"/>
    </row>
    <row r="922" customFormat="false" ht="12.8" hidden="false" customHeight="false" outlineLevel="0" collapsed="false">
      <c r="A922" s="44" t="n">
        <v>10</v>
      </c>
      <c r="B922" s="44" t="s">
        <v>214</v>
      </c>
      <c r="C922" s="44" t="s">
        <v>158</v>
      </c>
      <c r="D922" s="45" t="str">
        <f aca="true">OFFSET(plates!$B$95,CODE(LEFT(B922,1))-64,-1)&amp;"-"&amp;OFFSET(plates!$B$55,-1,MID(B922,2,3)+0)</f>
        <v>bc411-bc370</v>
      </c>
      <c r="E922" s="46" t="str">
        <f aca="true">OFFSET(plates!$B$95,CODE(LEFT(B922,1))-64,MID(B922,2,3)+0)&amp;""</f>
        <v/>
      </c>
      <c r="F922" s="46"/>
      <c r="G922" s="47"/>
      <c r="H922" s="47"/>
    </row>
    <row r="923" customFormat="false" ht="12.8" hidden="false" customHeight="false" outlineLevel="0" collapsed="false">
      <c r="A923" s="44" t="n">
        <v>10</v>
      </c>
      <c r="B923" s="44" t="s">
        <v>215</v>
      </c>
      <c r="C923" s="44" t="s">
        <v>158</v>
      </c>
      <c r="D923" s="45" t="str">
        <f aca="true">OFFSET(plates!$B$95,CODE(LEFT(B923,1))-64,-1)&amp;"-"&amp;OFFSET(plates!$B$55,-1,MID(B923,2,3)+0)</f>
        <v>bc418-bc370</v>
      </c>
      <c r="E923" s="46" t="str">
        <f aca="true">OFFSET(plates!$B$95,CODE(LEFT(B923,1))-64,MID(B923,2,3)+0)&amp;""</f>
        <v/>
      </c>
      <c r="F923" s="46"/>
      <c r="G923" s="47"/>
      <c r="H923" s="47"/>
    </row>
    <row r="924" customFormat="false" ht="12.8" hidden="false" customHeight="false" outlineLevel="0" collapsed="false">
      <c r="A924" s="44" t="n">
        <v>10</v>
      </c>
      <c r="B924" s="44" t="s">
        <v>216</v>
      </c>
      <c r="C924" s="44" t="s">
        <v>158</v>
      </c>
      <c r="D924" s="45" t="str">
        <f aca="true">OFFSET(plates!$B$95,CODE(LEFT(B924,1))-64,-1)&amp;"-"&amp;OFFSET(plates!$B$55,-1,MID(B924,2,3)+0)</f>
        <v>bc449-bc370</v>
      </c>
      <c r="E924" s="46" t="str">
        <f aca="true">OFFSET(plates!$B$95,CODE(LEFT(B924,1))-64,MID(B924,2,3)+0)&amp;""</f>
        <v/>
      </c>
      <c r="F924" s="46"/>
      <c r="G924" s="47"/>
      <c r="H924" s="47"/>
    </row>
    <row r="925" customFormat="false" ht="12.8" hidden="false" customHeight="false" outlineLevel="0" collapsed="false">
      <c r="A925" s="44" t="n">
        <v>10</v>
      </c>
      <c r="B925" s="44" t="s">
        <v>217</v>
      </c>
      <c r="C925" s="44" t="s">
        <v>158</v>
      </c>
      <c r="D925" s="45" t="str">
        <f aca="true">OFFSET(plates!$B$95,CODE(LEFT(B925,1))-64,-1)&amp;"-"&amp;OFFSET(plates!$B$55,-1,MID(B925,2,3)+0)</f>
        <v>bc462-bc370</v>
      </c>
      <c r="E925" s="46" t="str">
        <f aca="true">OFFSET(plates!$B$95,CODE(LEFT(B925,1))-64,MID(B925,2,3)+0)&amp;""</f>
        <v/>
      </c>
      <c r="F925" s="46"/>
      <c r="G925" s="47"/>
      <c r="H925" s="47"/>
    </row>
    <row r="926" customFormat="false" ht="12.8" hidden="false" customHeight="false" outlineLevel="0" collapsed="false">
      <c r="A926" s="44" t="n">
        <v>10</v>
      </c>
      <c r="B926" s="44" t="s">
        <v>218</v>
      </c>
      <c r="C926" s="44" t="s">
        <v>158</v>
      </c>
      <c r="D926" s="45" t="str">
        <f aca="true">OFFSET(plates!$B$95,CODE(LEFT(B926,1))-64,-1)&amp;"-"&amp;OFFSET(plates!$B$55,-1,MID(B926,2,3)+0)</f>
        <v>bc485-bc370</v>
      </c>
      <c r="E926" s="46" t="str">
        <f aca="true">OFFSET(plates!$B$95,CODE(LEFT(B926,1))-64,MID(B926,2,3)+0)&amp;""</f>
        <v/>
      </c>
      <c r="F926" s="46"/>
      <c r="G926" s="47"/>
      <c r="H926" s="47"/>
    </row>
    <row r="927" customFormat="false" ht="12.8" hidden="false" customHeight="false" outlineLevel="0" collapsed="false">
      <c r="A927" s="44" t="n">
        <v>10</v>
      </c>
      <c r="B927" s="44" t="s">
        <v>219</v>
      </c>
      <c r="C927" s="44" t="s">
        <v>158</v>
      </c>
      <c r="D927" s="45" t="str">
        <f aca="true">OFFSET(plates!$B$95,CODE(LEFT(B927,1))-64,-1)&amp;"-"&amp;OFFSET(plates!$B$55,-1,MID(B927,2,3)+0)</f>
        <v>bc486-bc370</v>
      </c>
      <c r="E927" s="46" t="str">
        <f aca="true">OFFSET(plates!$B$95,CODE(LEFT(B927,1))-64,MID(B927,2,3)+0)&amp;""</f>
        <v/>
      </c>
      <c r="F927" s="46"/>
      <c r="G927" s="47"/>
      <c r="H927" s="47"/>
    </row>
    <row r="928" customFormat="false" ht="12.8" hidden="false" customHeight="false" outlineLevel="0" collapsed="false">
      <c r="A928" s="44" t="n">
        <v>10</v>
      </c>
      <c r="B928" s="44" t="s">
        <v>220</v>
      </c>
      <c r="C928" s="44" t="s">
        <v>158</v>
      </c>
      <c r="D928" s="45" t="str">
        <f aca="true">OFFSET(plates!$B$95,CODE(LEFT(B928,1))-64,-1)&amp;"-"&amp;OFFSET(plates!$B$55,-1,MID(B928,2,3)+0)</f>
        <v>bc494-bc370</v>
      </c>
      <c r="E928" s="46" t="str">
        <f aca="true">OFFSET(plates!$B$95,CODE(LEFT(B928,1))-64,MID(B928,2,3)+0)&amp;""</f>
        <v/>
      </c>
      <c r="F928" s="46"/>
      <c r="G928" s="47"/>
      <c r="H928" s="47"/>
    </row>
    <row r="929" customFormat="false" ht="12.8" hidden="false" customHeight="false" outlineLevel="0" collapsed="false">
      <c r="A929" s="44" t="n">
        <v>10</v>
      </c>
      <c r="B929" s="44" t="s">
        <v>221</v>
      </c>
      <c r="C929" s="44" t="s">
        <v>158</v>
      </c>
      <c r="D929" s="45" t="str">
        <f aca="true">OFFSET(plates!$B$95,CODE(LEFT(B929,1))-64,-1)&amp;"-"&amp;OFFSET(plates!$B$55,-1,MID(B929,2,3)+0)</f>
        <v>bc538-bc370</v>
      </c>
      <c r="E929" s="46" t="str">
        <f aca="true">OFFSET(plates!$B$95,CODE(LEFT(B929,1))-64,MID(B929,2,3)+0)&amp;""</f>
        <v/>
      </c>
      <c r="F929" s="46"/>
      <c r="G929" s="47"/>
      <c r="H929" s="47"/>
    </row>
    <row r="930" customFormat="false" ht="12.8" hidden="false" customHeight="false" outlineLevel="0" collapsed="false">
      <c r="A930" s="44" t="n">
        <v>10</v>
      </c>
      <c r="B930" s="44" t="s">
        <v>222</v>
      </c>
      <c r="C930" s="44" t="s">
        <v>158</v>
      </c>
      <c r="D930" s="45" t="str">
        <f aca="true">OFFSET(plates!$B$95,CODE(LEFT(B930,1))-64,-1)&amp;"-"&amp;OFFSET(plates!$B$55,-1,MID(B930,2,3)+0)</f>
        <v>bc411-bc387</v>
      </c>
      <c r="E930" s="46" t="str">
        <f aca="true">OFFSET(plates!$B$95,CODE(LEFT(B930,1))-64,MID(B930,2,3)+0)&amp;""</f>
        <v/>
      </c>
      <c r="F930" s="46"/>
      <c r="G930" s="47"/>
      <c r="H930" s="47"/>
    </row>
    <row r="931" customFormat="false" ht="12.8" hidden="false" customHeight="false" outlineLevel="0" collapsed="false">
      <c r="A931" s="44" t="n">
        <v>10</v>
      </c>
      <c r="B931" s="44" t="s">
        <v>223</v>
      </c>
      <c r="C931" s="44" t="s">
        <v>158</v>
      </c>
      <c r="D931" s="45" t="str">
        <f aca="true">OFFSET(plates!$B$95,CODE(LEFT(B931,1))-64,-1)&amp;"-"&amp;OFFSET(plates!$B$55,-1,MID(B931,2,3)+0)</f>
        <v>bc418-bc387</v>
      </c>
      <c r="E931" s="46" t="str">
        <f aca="true">OFFSET(plates!$B$95,CODE(LEFT(B931,1))-64,MID(B931,2,3)+0)&amp;""</f>
        <v/>
      </c>
      <c r="F931" s="46"/>
      <c r="G931" s="47"/>
      <c r="H931" s="47"/>
    </row>
    <row r="932" customFormat="false" ht="12.8" hidden="false" customHeight="false" outlineLevel="0" collapsed="false">
      <c r="A932" s="44" t="n">
        <v>10</v>
      </c>
      <c r="B932" s="44" t="s">
        <v>224</v>
      </c>
      <c r="C932" s="44" t="s">
        <v>158</v>
      </c>
      <c r="D932" s="45" t="str">
        <f aca="true">OFFSET(plates!$B$95,CODE(LEFT(B932,1))-64,-1)&amp;"-"&amp;OFFSET(plates!$B$55,-1,MID(B932,2,3)+0)</f>
        <v>bc449-bc387</v>
      </c>
      <c r="E932" s="46" t="str">
        <f aca="true">OFFSET(plates!$B$95,CODE(LEFT(B932,1))-64,MID(B932,2,3)+0)&amp;""</f>
        <v/>
      </c>
      <c r="F932" s="46"/>
      <c r="G932" s="47"/>
      <c r="H932" s="47"/>
    </row>
    <row r="933" customFormat="false" ht="12.8" hidden="false" customHeight="false" outlineLevel="0" collapsed="false">
      <c r="A933" s="44" t="n">
        <v>10</v>
      </c>
      <c r="B933" s="44" t="s">
        <v>225</v>
      </c>
      <c r="C933" s="44" t="s">
        <v>158</v>
      </c>
      <c r="D933" s="45" t="str">
        <f aca="true">OFFSET(plates!$B$95,CODE(LEFT(B933,1))-64,-1)&amp;"-"&amp;OFFSET(plates!$B$55,-1,MID(B933,2,3)+0)</f>
        <v>bc462-bc387</v>
      </c>
      <c r="E933" s="46" t="str">
        <f aca="true">OFFSET(plates!$B$95,CODE(LEFT(B933,1))-64,MID(B933,2,3)+0)&amp;""</f>
        <v/>
      </c>
      <c r="F933" s="46"/>
      <c r="G933" s="47"/>
      <c r="H933" s="47"/>
    </row>
    <row r="934" customFormat="false" ht="12.8" hidden="false" customHeight="false" outlineLevel="0" collapsed="false">
      <c r="A934" s="44" t="n">
        <v>10</v>
      </c>
      <c r="B934" s="44" t="s">
        <v>226</v>
      </c>
      <c r="C934" s="44" t="s">
        <v>158</v>
      </c>
      <c r="D934" s="45" t="str">
        <f aca="true">OFFSET(plates!$B$95,CODE(LEFT(B934,1))-64,-1)&amp;"-"&amp;OFFSET(plates!$B$55,-1,MID(B934,2,3)+0)</f>
        <v>bc485-bc387</v>
      </c>
      <c r="E934" s="46" t="str">
        <f aca="true">OFFSET(plates!$B$95,CODE(LEFT(B934,1))-64,MID(B934,2,3)+0)&amp;""</f>
        <v/>
      </c>
      <c r="F934" s="46"/>
      <c r="G934" s="47"/>
      <c r="H934" s="47"/>
    </row>
    <row r="935" customFormat="false" ht="12.8" hidden="false" customHeight="false" outlineLevel="0" collapsed="false">
      <c r="A935" s="44" t="n">
        <v>10</v>
      </c>
      <c r="B935" s="44" t="s">
        <v>227</v>
      </c>
      <c r="C935" s="44" t="s">
        <v>158</v>
      </c>
      <c r="D935" s="45" t="str">
        <f aca="true">OFFSET(plates!$B$95,CODE(LEFT(B935,1))-64,-1)&amp;"-"&amp;OFFSET(plates!$B$55,-1,MID(B935,2,3)+0)</f>
        <v>bc486-bc387</v>
      </c>
      <c r="E935" s="46" t="str">
        <f aca="true">OFFSET(plates!$B$95,CODE(LEFT(B935,1))-64,MID(B935,2,3)+0)&amp;""</f>
        <v/>
      </c>
      <c r="F935" s="46"/>
      <c r="G935" s="47"/>
      <c r="H935" s="47"/>
    </row>
    <row r="936" customFormat="false" ht="12.8" hidden="false" customHeight="false" outlineLevel="0" collapsed="false">
      <c r="A936" s="44" t="n">
        <v>10</v>
      </c>
      <c r="B936" s="44" t="s">
        <v>228</v>
      </c>
      <c r="C936" s="44" t="s">
        <v>158</v>
      </c>
      <c r="D936" s="45" t="str">
        <f aca="true">OFFSET(plates!$B$95,CODE(LEFT(B936,1))-64,-1)&amp;"-"&amp;OFFSET(plates!$B$55,-1,MID(B936,2,3)+0)</f>
        <v>bc494-bc387</v>
      </c>
      <c r="E936" s="46" t="str">
        <f aca="true">OFFSET(plates!$B$95,CODE(LEFT(B936,1))-64,MID(B936,2,3)+0)&amp;""</f>
        <v/>
      </c>
      <c r="F936" s="46"/>
      <c r="G936" s="47"/>
      <c r="H936" s="47"/>
    </row>
    <row r="937" customFormat="false" ht="12.8" hidden="false" customHeight="false" outlineLevel="0" collapsed="false">
      <c r="A937" s="44" t="n">
        <v>10</v>
      </c>
      <c r="B937" s="44" t="s">
        <v>229</v>
      </c>
      <c r="C937" s="44" t="s">
        <v>158</v>
      </c>
      <c r="D937" s="45" t="str">
        <f aca="true">OFFSET(plates!$B$95,CODE(LEFT(B937,1))-64,-1)&amp;"-"&amp;OFFSET(plates!$B$55,-1,MID(B937,2,3)+0)</f>
        <v>bc538-bc387</v>
      </c>
      <c r="E937" s="46" t="str">
        <f aca="true">OFFSET(plates!$B$95,CODE(LEFT(B937,1))-64,MID(B937,2,3)+0)&amp;""</f>
        <v/>
      </c>
      <c r="F937" s="46"/>
      <c r="G937" s="47"/>
      <c r="H937" s="47"/>
    </row>
    <row r="938" customFormat="false" ht="12.8" hidden="false" customHeight="false" outlineLevel="0" collapsed="false">
      <c r="A938" s="44" t="n">
        <v>10</v>
      </c>
      <c r="B938" s="44" t="s">
        <v>230</v>
      </c>
      <c r="C938" s="44" t="s">
        <v>158</v>
      </c>
      <c r="D938" s="45" t="str">
        <f aca="true">OFFSET(plates!$B$95,CODE(LEFT(B938,1))-64,-1)&amp;"-"&amp;OFFSET(plates!$B$55,-1,MID(B938,2,3)+0)</f>
        <v>bc411-bc388</v>
      </c>
      <c r="E938" s="46" t="str">
        <f aca="true">OFFSET(plates!$B$95,CODE(LEFT(B938,1))-64,MID(B938,2,3)+0)&amp;""</f>
        <v/>
      </c>
      <c r="F938" s="46"/>
      <c r="G938" s="47"/>
      <c r="H938" s="47"/>
    </row>
    <row r="939" customFormat="false" ht="12.8" hidden="false" customHeight="false" outlineLevel="0" collapsed="false">
      <c r="A939" s="44" t="n">
        <v>10</v>
      </c>
      <c r="B939" s="44" t="s">
        <v>231</v>
      </c>
      <c r="C939" s="44" t="s">
        <v>158</v>
      </c>
      <c r="D939" s="45" t="str">
        <f aca="true">OFFSET(plates!$B$95,CODE(LEFT(B939,1))-64,-1)&amp;"-"&amp;OFFSET(plates!$B$55,-1,MID(B939,2,3)+0)</f>
        <v>bc418-bc388</v>
      </c>
      <c r="E939" s="46" t="str">
        <f aca="true">OFFSET(plates!$B$95,CODE(LEFT(B939,1))-64,MID(B939,2,3)+0)&amp;""</f>
        <v/>
      </c>
      <c r="F939" s="46"/>
      <c r="G939" s="47"/>
      <c r="H939" s="47"/>
    </row>
    <row r="940" customFormat="false" ht="12.8" hidden="false" customHeight="false" outlineLevel="0" collapsed="false">
      <c r="A940" s="44" t="n">
        <v>10</v>
      </c>
      <c r="B940" s="44" t="s">
        <v>232</v>
      </c>
      <c r="C940" s="44" t="s">
        <v>158</v>
      </c>
      <c r="D940" s="45" t="str">
        <f aca="true">OFFSET(plates!$B$95,CODE(LEFT(B940,1))-64,-1)&amp;"-"&amp;OFFSET(plates!$B$55,-1,MID(B940,2,3)+0)</f>
        <v>bc449-bc388</v>
      </c>
      <c r="E940" s="46" t="str">
        <f aca="true">OFFSET(plates!$B$95,CODE(LEFT(B940,1))-64,MID(B940,2,3)+0)&amp;""</f>
        <v/>
      </c>
      <c r="F940" s="46"/>
      <c r="G940" s="47"/>
      <c r="H940" s="47"/>
    </row>
    <row r="941" s="48" customFormat="true" ht="12.8" hidden="false" customHeight="false" outlineLevel="0" collapsed="false">
      <c r="A941" s="44" t="n">
        <v>10</v>
      </c>
      <c r="B941" s="44" t="s">
        <v>233</v>
      </c>
      <c r="C941" s="44" t="s">
        <v>158</v>
      </c>
      <c r="D941" s="45" t="str">
        <f aca="true">OFFSET(plates!$B$95,CODE(LEFT(B941,1))-64,-1)&amp;"-"&amp;OFFSET(plates!$B$55,-1,MID(B941,2,3)+0)</f>
        <v>bc462-bc388</v>
      </c>
      <c r="E941" s="46" t="str">
        <f aca="true">OFFSET(plates!$B$95,CODE(LEFT(B941,1))-64,MID(B941,2,3)+0)&amp;""</f>
        <v/>
      </c>
      <c r="F941" s="46"/>
      <c r="G941" s="47"/>
      <c r="H941" s="47"/>
      <c r="I941" s="36"/>
      <c r="J941" s="36"/>
      <c r="K941" s="36"/>
      <c r="L941" s="36"/>
      <c r="M941" s="36"/>
    </row>
    <row r="942" customFormat="false" ht="12.8" hidden="false" customHeight="false" outlineLevel="0" collapsed="false">
      <c r="A942" s="44" t="n">
        <v>10</v>
      </c>
      <c r="B942" s="44" t="s">
        <v>234</v>
      </c>
      <c r="C942" s="44" t="s">
        <v>158</v>
      </c>
      <c r="D942" s="45" t="str">
        <f aca="true">OFFSET(plates!$B$95,CODE(LEFT(B942,1))-64,-1)&amp;"-"&amp;OFFSET(plates!$B$55,-1,MID(B942,2,3)+0)</f>
        <v>bc485-bc388</v>
      </c>
      <c r="E942" s="46" t="str">
        <f aca="true">OFFSET(plates!$B$95,CODE(LEFT(B942,1))-64,MID(B942,2,3)+0)&amp;""</f>
        <v/>
      </c>
      <c r="F942" s="46"/>
      <c r="G942" s="47"/>
      <c r="H942" s="47"/>
    </row>
    <row r="943" customFormat="false" ht="12.8" hidden="false" customHeight="false" outlineLevel="0" collapsed="false">
      <c r="A943" s="44" t="n">
        <v>10</v>
      </c>
      <c r="B943" s="44" t="s">
        <v>235</v>
      </c>
      <c r="C943" s="44" t="s">
        <v>158</v>
      </c>
      <c r="D943" s="45" t="str">
        <f aca="true">OFFSET(plates!$B$95,CODE(LEFT(B943,1))-64,-1)&amp;"-"&amp;OFFSET(plates!$B$55,-1,MID(B943,2,3)+0)</f>
        <v>bc486-bc388</v>
      </c>
      <c r="E943" s="46" t="str">
        <f aca="true">OFFSET(plates!$B$95,CODE(LEFT(B943,1))-64,MID(B943,2,3)+0)&amp;""</f>
        <v/>
      </c>
      <c r="F943" s="46"/>
      <c r="G943" s="47"/>
      <c r="H943" s="47"/>
    </row>
    <row r="944" customFormat="false" ht="12.8" hidden="false" customHeight="false" outlineLevel="0" collapsed="false">
      <c r="A944" s="44" t="n">
        <v>10</v>
      </c>
      <c r="B944" s="44" t="s">
        <v>236</v>
      </c>
      <c r="C944" s="44" t="s">
        <v>158</v>
      </c>
      <c r="D944" s="45" t="str">
        <f aca="true">OFFSET(plates!$B$95,CODE(LEFT(B944,1))-64,-1)&amp;"-"&amp;OFFSET(plates!$B$55,-1,MID(B944,2,3)+0)</f>
        <v>bc494-bc388</v>
      </c>
      <c r="E944" s="46" t="str">
        <f aca="true">OFFSET(plates!$B$95,CODE(LEFT(B944,1))-64,MID(B944,2,3)+0)&amp;""</f>
        <v/>
      </c>
      <c r="F944" s="46"/>
      <c r="G944" s="47"/>
      <c r="H944" s="47"/>
    </row>
    <row r="945" customFormat="false" ht="12.8" hidden="false" customHeight="false" outlineLevel="0" collapsed="false">
      <c r="A945" s="44" t="n">
        <v>10</v>
      </c>
      <c r="B945" s="44" t="s">
        <v>237</v>
      </c>
      <c r="C945" s="44" t="s">
        <v>158</v>
      </c>
      <c r="D945" s="45" t="str">
        <f aca="true">OFFSET(plates!$B$95,CODE(LEFT(B945,1))-64,-1)&amp;"-"&amp;OFFSET(plates!$B$55,-1,MID(B945,2,3)+0)</f>
        <v>bc538-bc388</v>
      </c>
      <c r="E945" s="46" t="str">
        <f aca="true">OFFSET(plates!$B$95,CODE(LEFT(B945,1))-64,MID(B945,2,3)+0)&amp;""</f>
        <v/>
      </c>
      <c r="F945" s="46"/>
      <c r="G945" s="47"/>
      <c r="H945" s="47"/>
    </row>
    <row r="946" customFormat="false" ht="12.8" hidden="false" customHeight="false" outlineLevel="0" collapsed="false">
      <c r="A946" s="44" t="n">
        <v>10</v>
      </c>
      <c r="B946" s="44" t="s">
        <v>238</v>
      </c>
      <c r="C946" s="44" t="s">
        <v>158</v>
      </c>
      <c r="D946" s="45" t="str">
        <f aca="true">OFFSET(plates!$B$95,CODE(LEFT(B946,1))-64,-1)&amp;"-"&amp;OFFSET(plates!$B$55,-1,MID(B946,2,3)+0)</f>
        <v>bc411-bc396</v>
      </c>
      <c r="E946" s="46" t="str">
        <f aca="true">OFFSET(plates!$B$95,CODE(LEFT(B946,1))-64,MID(B946,2,3)+0)&amp;""</f>
        <v/>
      </c>
      <c r="F946" s="46"/>
      <c r="G946" s="47"/>
      <c r="H946" s="47"/>
    </row>
    <row r="947" customFormat="false" ht="12.8" hidden="false" customHeight="false" outlineLevel="0" collapsed="false">
      <c r="A947" s="44" t="n">
        <v>10</v>
      </c>
      <c r="B947" s="44" t="s">
        <v>239</v>
      </c>
      <c r="C947" s="44" t="s">
        <v>158</v>
      </c>
      <c r="D947" s="45" t="str">
        <f aca="true">OFFSET(plates!$B$95,CODE(LEFT(B947,1))-64,-1)&amp;"-"&amp;OFFSET(plates!$B$55,-1,MID(B947,2,3)+0)</f>
        <v>bc418-bc396</v>
      </c>
      <c r="E947" s="46" t="str">
        <f aca="true">OFFSET(plates!$B$95,CODE(LEFT(B947,1))-64,MID(B947,2,3)+0)&amp;""</f>
        <v/>
      </c>
      <c r="F947" s="46"/>
      <c r="G947" s="47"/>
      <c r="H947" s="47"/>
    </row>
    <row r="948" customFormat="false" ht="12.8" hidden="false" customHeight="false" outlineLevel="0" collapsed="false">
      <c r="A948" s="44" t="n">
        <v>10</v>
      </c>
      <c r="B948" s="44" t="s">
        <v>240</v>
      </c>
      <c r="C948" s="44" t="s">
        <v>158</v>
      </c>
      <c r="D948" s="45" t="str">
        <f aca="true">OFFSET(plates!$B$95,CODE(LEFT(B948,1))-64,-1)&amp;"-"&amp;OFFSET(plates!$B$55,-1,MID(B948,2,3)+0)</f>
        <v>bc449-bc396</v>
      </c>
      <c r="E948" s="46" t="str">
        <f aca="true">OFFSET(plates!$B$95,CODE(LEFT(B948,1))-64,MID(B948,2,3)+0)&amp;""</f>
        <v/>
      </c>
      <c r="F948" s="46"/>
      <c r="G948" s="47"/>
      <c r="H948" s="47"/>
    </row>
    <row r="949" customFormat="false" ht="12.8" hidden="false" customHeight="false" outlineLevel="0" collapsed="false">
      <c r="A949" s="44" t="n">
        <v>10</v>
      </c>
      <c r="B949" s="44" t="s">
        <v>241</v>
      </c>
      <c r="C949" s="44" t="s">
        <v>158</v>
      </c>
      <c r="D949" s="45" t="str">
        <f aca="true">OFFSET(plates!$B$95,CODE(LEFT(B949,1))-64,-1)&amp;"-"&amp;OFFSET(plates!$B$55,-1,MID(B949,2,3)+0)</f>
        <v>bc462-bc396</v>
      </c>
      <c r="E949" s="46" t="str">
        <f aca="true">OFFSET(plates!$B$95,CODE(LEFT(B949,1))-64,MID(B949,2,3)+0)&amp;""</f>
        <v/>
      </c>
      <c r="F949" s="46"/>
      <c r="G949" s="47"/>
      <c r="H949" s="47"/>
    </row>
    <row r="950" customFormat="false" ht="12.8" hidden="false" customHeight="false" outlineLevel="0" collapsed="false">
      <c r="A950" s="44" t="n">
        <v>10</v>
      </c>
      <c r="B950" s="44" t="s">
        <v>242</v>
      </c>
      <c r="C950" s="44" t="s">
        <v>158</v>
      </c>
      <c r="D950" s="45" t="str">
        <f aca="true">OFFSET(plates!$B$95,CODE(LEFT(B950,1))-64,-1)&amp;"-"&amp;OFFSET(plates!$B$55,-1,MID(B950,2,3)+0)</f>
        <v>bc485-bc396</v>
      </c>
      <c r="E950" s="46" t="str">
        <f aca="true">OFFSET(plates!$B$95,CODE(LEFT(B950,1))-64,MID(B950,2,3)+0)&amp;""</f>
        <v/>
      </c>
      <c r="F950" s="46"/>
      <c r="G950" s="47"/>
      <c r="H950" s="47"/>
    </row>
    <row r="951" customFormat="false" ht="12.8" hidden="false" customHeight="false" outlineLevel="0" collapsed="false">
      <c r="A951" s="44" t="n">
        <v>10</v>
      </c>
      <c r="B951" s="44" t="s">
        <v>243</v>
      </c>
      <c r="C951" s="44" t="s">
        <v>158</v>
      </c>
      <c r="D951" s="45" t="str">
        <f aca="true">OFFSET(plates!$B$95,CODE(LEFT(B951,1))-64,-1)&amp;"-"&amp;OFFSET(plates!$B$55,-1,MID(B951,2,3)+0)</f>
        <v>bc486-bc396</v>
      </c>
      <c r="E951" s="46" t="str">
        <f aca="true">OFFSET(plates!$B$95,CODE(LEFT(B951,1))-64,MID(B951,2,3)+0)&amp;""</f>
        <v/>
      </c>
      <c r="F951" s="46"/>
      <c r="G951" s="47"/>
      <c r="H951" s="47"/>
    </row>
    <row r="952" customFormat="false" ht="12.8" hidden="false" customHeight="false" outlineLevel="0" collapsed="false">
      <c r="A952" s="44" t="n">
        <v>10</v>
      </c>
      <c r="B952" s="44" t="s">
        <v>244</v>
      </c>
      <c r="C952" s="44" t="s">
        <v>158</v>
      </c>
      <c r="D952" s="45" t="str">
        <f aca="true">OFFSET(plates!$B$95,CODE(LEFT(B952,1))-64,-1)&amp;"-"&amp;OFFSET(plates!$B$55,-1,MID(B952,2,3)+0)</f>
        <v>bc494-bc396</v>
      </c>
      <c r="E952" s="46" t="str">
        <f aca="true">OFFSET(plates!$B$95,CODE(LEFT(B952,1))-64,MID(B952,2,3)+0)&amp;""</f>
        <v/>
      </c>
      <c r="F952" s="46"/>
      <c r="G952" s="47"/>
      <c r="H952" s="47"/>
    </row>
    <row r="953" customFormat="false" ht="12.8" hidden="false" customHeight="false" outlineLevel="0" collapsed="false">
      <c r="A953" s="44" t="n">
        <v>10</v>
      </c>
      <c r="B953" s="44" t="s">
        <v>245</v>
      </c>
      <c r="C953" s="44" t="s">
        <v>158</v>
      </c>
      <c r="D953" s="45" t="str">
        <f aca="true">OFFSET(plates!$B$95,CODE(LEFT(B953,1))-64,-1)&amp;"-"&amp;OFFSET(plates!$B$55,-1,MID(B953,2,3)+0)</f>
        <v>bc538-bc396</v>
      </c>
      <c r="E953" s="46" t="str">
        <f aca="true">OFFSET(plates!$B$95,CODE(LEFT(B953,1))-64,MID(B953,2,3)+0)&amp;""</f>
        <v/>
      </c>
      <c r="F953" s="46"/>
      <c r="G953" s="47"/>
      <c r="H953" s="47"/>
    </row>
    <row r="954" customFormat="false" ht="12.8" hidden="false" customHeight="false" outlineLevel="0" collapsed="false">
      <c r="A954" s="44" t="n">
        <v>10</v>
      </c>
      <c r="B954" s="44" t="s">
        <v>246</v>
      </c>
      <c r="C954" s="44" t="s">
        <v>158</v>
      </c>
      <c r="D954" s="45" t="str">
        <f aca="true">OFFSET(plates!$B$95,CODE(LEFT(B954,1))-64,-1)&amp;"-"&amp;OFFSET(plates!$B$55,-1,MID(B954,2,3)+0)</f>
        <v>bc411-bc397</v>
      </c>
      <c r="E954" s="46" t="str">
        <f aca="true">OFFSET(plates!$B$95,CODE(LEFT(B954,1))-64,MID(B954,2,3)+0)&amp;""</f>
        <v/>
      </c>
      <c r="F954" s="46"/>
      <c r="G954" s="47"/>
      <c r="H954" s="47"/>
    </row>
    <row r="955" customFormat="false" ht="12.8" hidden="false" customHeight="false" outlineLevel="0" collapsed="false">
      <c r="A955" s="44" t="n">
        <v>10</v>
      </c>
      <c r="B955" s="44" t="s">
        <v>247</v>
      </c>
      <c r="C955" s="44" t="s">
        <v>158</v>
      </c>
      <c r="D955" s="45" t="str">
        <f aca="true">OFFSET(plates!$B$95,CODE(LEFT(B955,1))-64,-1)&amp;"-"&amp;OFFSET(plates!$B$55,-1,MID(B955,2,3)+0)</f>
        <v>bc418-bc397</v>
      </c>
      <c r="E955" s="46" t="str">
        <f aca="true">OFFSET(plates!$B$95,CODE(LEFT(B955,1))-64,MID(B955,2,3)+0)&amp;""</f>
        <v/>
      </c>
      <c r="F955" s="46"/>
      <c r="G955" s="47"/>
      <c r="H955" s="47"/>
    </row>
    <row r="956" customFormat="false" ht="12.8" hidden="false" customHeight="false" outlineLevel="0" collapsed="false">
      <c r="A956" s="44" t="n">
        <v>10</v>
      </c>
      <c r="B956" s="44" t="s">
        <v>248</v>
      </c>
      <c r="C956" s="44" t="s">
        <v>158</v>
      </c>
      <c r="D956" s="45" t="str">
        <f aca="true">OFFSET(plates!$B$95,CODE(LEFT(B956,1))-64,-1)&amp;"-"&amp;OFFSET(plates!$B$55,-1,MID(B956,2,3)+0)</f>
        <v>bc449-bc397</v>
      </c>
      <c r="E956" s="46" t="str">
        <f aca="true">OFFSET(plates!$B$95,CODE(LEFT(B956,1))-64,MID(B956,2,3)+0)&amp;""</f>
        <v/>
      </c>
      <c r="F956" s="46"/>
      <c r="G956" s="47"/>
      <c r="H956" s="47"/>
    </row>
    <row r="957" customFormat="false" ht="12.8" hidden="false" customHeight="false" outlineLevel="0" collapsed="false">
      <c r="A957" s="44" t="n">
        <v>10</v>
      </c>
      <c r="B957" s="44" t="s">
        <v>249</v>
      </c>
      <c r="C957" s="44" t="s">
        <v>158</v>
      </c>
      <c r="D957" s="45" t="str">
        <f aca="true">OFFSET(plates!$B$95,CODE(LEFT(B957,1))-64,-1)&amp;"-"&amp;OFFSET(plates!$B$55,-1,MID(B957,2,3)+0)</f>
        <v>bc462-bc397</v>
      </c>
      <c r="E957" s="46" t="str">
        <f aca="true">OFFSET(plates!$B$95,CODE(LEFT(B957,1))-64,MID(B957,2,3)+0)&amp;""</f>
        <v/>
      </c>
      <c r="F957" s="46"/>
      <c r="G957" s="47"/>
      <c r="H957" s="47"/>
    </row>
    <row r="958" customFormat="false" ht="12.8" hidden="false" customHeight="false" outlineLevel="0" collapsed="false">
      <c r="A958" s="44" t="n">
        <v>10</v>
      </c>
      <c r="B958" s="44" t="s">
        <v>250</v>
      </c>
      <c r="C958" s="44" t="s">
        <v>158</v>
      </c>
      <c r="D958" s="45" t="str">
        <f aca="true">OFFSET(plates!$B$95,CODE(LEFT(B958,1))-64,-1)&amp;"-"&amp;OFFSET(plates!$B$55,-1,MID(B958,2,3)+0)</f>
        <v>bc485-bc397</v>
      </c>
      <c r="E958" s="46" t="str">
        <f aca="true">OFFSET(plates!$B$95,CODE(LEFT(B958,1))-64,MID(B958,2,3)+0)&amp;""</f>
        <v/>
      </c>
      <c r="F958" s="46"/>
      <c r="G958" s="47"/>
      <c r="H958" s="47"/>
    </row>
    <row r="959" customFormat="false" ht="12.8" hidden="false" customHeight="false" outlineLevel="0" collapsed="false">
      <c r="A959" s="44" t="n">
        <v>10</v>
      </c>
      <c r="B959" s="44" t="s">
        <v>251</v>
      </c>
      <c r="C959" s="44" t="s">
        <v>158</v>
      </c>
      <c r="D959" s="45" t="str">
        <f aca="true">OFFSET(plates!$B$95,CODE(LEFT(B959,1))-64,-1)&amp;"-"&amp;OFFSET(plates!$B$55,-1,MID(B959,2,3)+0)</f>
        <v>bc486-bc397</v>
      </c>
      <c r="E959" s="46" t="str">
        <f aca="true">OFFSET(plates!$B$95,CODE(LEFT(B959,1))-64,MID(B959,2,3)+0)&amp;""</f>
        <v/>
      </c>
      <c r="F959" s="46"/>
      <c r="G959" s="47"/>
      <c r="H959" s="47"/>
      <c r="I959" s="36"/>
      <c r="J959" s="36"/>
      <c r="K959" s="36"/>
      <c r="L959" s="36"/>
      <c r="M959" s="36"/>
    </row>
    <row r="960" customFormat="false" ht="12.8" hidden="false" customHeight="false" outlineLevel="0" collapsed="false">
      <c r="A960" s="44" t="n">
        <v>10</v>
      </c>
      <c r="B960" s="44" t="s">
        <v>252</v>
      </c>
      <c r="C960" s="44" t="s">
        <v>158</v>
      </c>
      <c r="D960" s="45" t="str">
        <f aca="true">OFFSET(plates!$B$95,CODE(LEFT(B960,1))-64,-1)&amp;"-"&amp;OFFSET(plates!$B$55,-1,MID(B960,2,3)+0)</f>
        <v>bc494-bc397</v>
      </c>
      <c r="E960" s="46" t="str">
        <f aca="true">OFFSET(plates!$B$95,CODE(LEFT(B960,1))-64,MID(B960,2,3)+0)&amp;""</f>
        <v/>
      </c>
      <c r="F960" s="46"/>
      <c r="G960" s="47"/>
      <c r="H960" s="47"/>
    </row>
    <row r="961" customFormat="false" ht="12.8" hidden="false" customHeight="false" outlineLevel="0" collapsed="false">
      <c r="A961" s="44" t="n">
        <v>10</v>
      </c>
      <c r="B961" s="44" t="s">
        <v>253</v>
      </c>
      <c r="C961" s="44" t="s">
        <v>158</v>
      </c>
      <c r="D961" s="45" t="str">
        <f aca="true">OFFSET(plates!$B$95,CODE(LEFT(B961,1))-64,-1)&amp;"-"&amp;OFFSET(plates!$B$55,-1,MID(B961,2,3)+0)</f>
        <v>bc538-bc397</v>
      </c>
      <c r="E961" s="46" t="str">
        <f aca="true">OFFSET(plates!$B$95,CODE(LEFT(B961,1))-64,MID(B961,2,3)+0)&amp;""</f>
        <v/>
      </c>
      <c r="F961" s="46"/>
      <c r="G961" s="47"/>
      <c r="H961" s="47"/>
      <c r="I961" s="36"/>
      <c r="J961" s="36"/>
      <c r="K961" s="36"/>
    </row>
    <row r="962" customFormat="false" ht="12.8" hidden="false" customHeight="false" outlineLevel="0" collapsed="false">
      <c r="A962" s="44" t="n">
        <v>11</v>
      </c>
      <c r="B962" s="44" t="s">
        <v>157</v>
      </c>
      <c r="C962" s="44" t="s">
        <v>158</v>
      </c>
      <c r="D962" s="45" t="str">
        <f aca="true">OFFSET(plates!$B$106,CODE(LEFT(B962,1))-64,-1)&amp;"-"&amp;OFFSET(plates!$B$106,-1,MID(B962,2,3)+0)</f>
        <v>bc018-bc411</v>
      </c>
      <c r="E962" s="46" t="str">
        <f aca="true">OFFSET(plates!$B$106,CODE(LEFT(B962,1))-64,MID(B962,2,3)+0)&amp;""</f>
        <v/>
      </c>
      <c r="F962" s="46"/>
      <c r="G962" s="47"/>
      <c r="H962" s="47"/>
    </row>
    <row r="963" customFormat="false" ht="12.8" hidden="false" customHeight="false" outlineLevel="0" collapsed="false">
      <c r="A963" s="44" t="n">
        <v>11</v>
      </c>
      <c r="B963" s="44" t="s">
        <v>159</v>
      </c>
      <c r="C963" s="44" t="s">
        <v>158</v>
      </c>
      <c r="D963" s="45" t="str">
        <f aca="true">OFFSET(plates!$B$106,CODE(LEFT(B963,1))-64,-1)&amp;"-"&amp;OFFSET(plates!$B$106,-1,MID(B963,2,3)+0)</f>
        <v>bc060-bc411</v>
      </c>
      <c r="E963" s="46" t="str">
        <f aca="true">OFFSET(plates!$B$106,CODE(LEFT(B963,1))-64,MID(B963,2,3)+0)&amp;""</f>
        <v/>
      </c>
      <c r="F963" s="46"/>
      <c r="G963" s="47"/>
      <c r="H963" s="47"/>
    </row>
    <row r="964" customFormat="false" ht="12.8" hidden="false" customHeight="false" outlineLevel="0" collapsed="false">
      <c r="A964" s="44" t="n">
        <v>11</v>
      </c>
      <c r="B964" s="44" t="s">
        <v>160</v>
      </c>
      <c r="C964" s="44" t="s">
        <v>158</v>
      </c>
      <c r="D964" s="45" t="str">
        <f aca="true">OFFSET(plates!$B$106,CODE(LEFT(B964,1))-64,-1)&amp;"-"&amp;OFFSET(plates!$B$106,-1,MID(B964,2,3)+0)</f>
        <v>bc061-bc411</v>
      </c>
      <c r="E964" s="46" t="str">
        <f aca="true">OFFSET(plates!$B$106,CODE(LEFT(B964,1))-64,MID(B964,2,3)+0)&amp;""</f>
        <v/>
      </c>
      <c r="F964" s="46"/>
      <c r="G964" s="47"/>
      <c r="H964" s="47"/>
    </row>
    <row r="965" customFormat="false" ht="12.8" hidden="false" customHeight="false" outlineLevel="0" collapsed="false">
      <c r="A965" s="44" t="n">
        <v>11</v>
      </c>
      <c r="B965" s="44" t="s">
        <v>161</v>
      </c>
      <c r="C965" s="44" t="s">
        <v>158</v>
      </c>
      <c r="D965" s="45" t="str">
        <f aca="true">OFFSET(plates!$B$106,CODE(LEFT(B965,1))-64,-1)&amp;"-"&amp;OFFSET(plates!$B$106,-1,MID(B965,2,3)+0)</f>
        <v>bc062-bc411</v>
      </c>
      <c r="E965" s="46" t="str">
        <f aca="true">OFFSET(plates!$B$106,CODE(LEFT(B965,1))-64,MID(B965,2,3)+0)&amp;""</f>
        <v/>
      </c>
      <c r="F965" s="46"/>
      <c r="G965" s="47"/>
      <c r="H965" s="47"/>
    </row>
    <row r="966" customFormat="false" ht="12.8" hidden="false" customHeight="false" outlineLevel="0" collapsed="false">
      <c r="A966" s="44" t="n">
        <v>11</v>
      </c>
      <c r="B966" s="44" t="s">
        <v>162</v>
      </c>
      <c r="C966" s="44" t="s">
        <v>158</v>
      </c>
      <c r="D966" s="45" t="str">
        <f aca="true">OFFSET(plates!$B$106,CODE(LEFT(B966,1))-64,-1)&amp;"-"&amp;OFFSET(plates!$B$106,-1,MID(B966,2,3)+0)</f>
        <v>bc095-bc411</v>
      </c>
      <c r="E966" s="46" t="str">
        <f aca="true">OFFSET(plates!$B$106,CODE(LEFT(B966,1))-64,MID(B966,2,3)+0)&amp;""</f>
        <v/>
      </c>
      <c r="F966" s="46"/>
      <c r="G966" s="47"/>
      <c r="H966" s="47"/>
    </row>
    <row r="967" customFormat="false" ht="12.8" hidden="false" customHeight="false" outlineLevel="0" collapsed="false">
      <c r="A967" s="44" t="n">
        <v>11</v>
      </c>
      <c r="B967" s="44" t="s">
        <v>163</v>
      </c>
      <c r="C967" s="44" t="s">
        <v>158</v>
      </c>
      <c r="D967" s="45" t="str">
        <f aca="true">OFFSET(plates!$B$106,CODE(LEFT(B967,1))-64,-1)&amp;"-"&amp;OFFSET(plates!$B$106,-1,MID(B967,2,3)+0)</f>
        <v>bc139-bc411</v>
      </c>
      <c r="E967" s="46" t="str">
        <f aca="true">OFFSET(plates!$B$106,CODE(LEFT(B967,1))-64,MID(B967,2,3)+0)&amp;""</f>
        <v/>
      </c>
      <c r="F967" s="46"/>
      <c r="G967" s="47"/>
      <c r="H967" s="47"/>
    </row>
    <row r="968" customFormat="false" ht="12.8" hidden="false" customHeight="false" outlineLevel="0" collapsed="false">
      <c r="A968" s="44" t="n">
        <v>11</v>
      </c>
      <c r="B968" s="44" t="s">
        <v>164</v>
      </c>
      <c r="C968" s="44" t="s">
        <v>158</v>
      </c>
      <c r="D968" s="45" t="str">
        <f aca="true">OFFSET(plates!$B$106,CODE(LEFT(B968,1))-64,-1)&amp;"-"&amp;OFFSET(plates!$B$106,-1,MID(B968,2,3)+0)</f>
        <v>bc148-bc411</v>
      </c>
      <c r="E968" s="46" t="str">
        <f aca="true">OFFSET(plates!$B$106,CODE(LEFT(B968,1))-64,MID(B968,2,3)+0)&amp;""</f>
        <v/>
      </c>
      <c r="F968" s="46"/>
      <c r="G968" s="47"/>
      <c r="H968" s="47"/>
    </row>
    <row r="969" customFormat="false" ht="12.8" hidden="false" customHeight="false" outlineLevel="0" collapsed="false">
      <c r="A969" s="44" t="n">
        <v>11</v>
      </c>
      <c r="B969" s="44" t="s">
        <v>165</v>
      </c>
      <c r="C969" s="44" t="s">
        <v>158</v>
      </c>
      <c r="D969" s="45" t="str">
        <f aca="true">OFFSET(plates!$B$106,CODE(LEFT(B969,1))-64,-1)&amp;"-"&amp;OFFSET(plates!$B$106,-1,MID(B969,2,3)+0)</f>
        <v>bc157-bc411</v>
      </c>
      <c r="E969" s="46" t="str">
        <f aca="true">OFFSET(plates!$B$106,CODE(LEFT(B969,1))-64,MID(B969,2,3)+0)&amp;""</f>
        <v/>
      </c>
      <c r="F969" s="46"/>
      <c r="G969" s="47"/>
      <c r="H969" s="47"/>
    </row>
    <row r="970" customFormat="false" ht="12.8" hidden="false" customHeight="false" outlineLevel="0" collapsed="false">
      <c r="A970" s="44" t="n">
        <v>11</v>
      </c>
      <c r="B970" s="44" t="s">
        <v>166</v>
      </c>
      <c r="C970" s="44" t="s">
        <v>158</v>
      </c>
      <c r="D970" s="45" t="str">
        <f aca="true">OFFSET(plates!$B$106,CODE(LEFT(B970,1))-64,-1)&amp;"-"&amp;OFFSET(plates!$B$106,-1,MID(B970,2,3)+0)</f>
        <v>bc018-bc413</v>
      </c>
      <c r="E970" s="46" t="str">
        <f aca="true">OFFSET(plates!$B$106,CODE(LEFT(B970,1))-64,MID(B970,2,3)+0)&amp;""</f>
        <v/>
      </c>
      <c r="F970" s="46"/>
      <c r="G970" s="47"/>
      <c r="H970" s="47"/>
    </row>
    <row r="971" customFormat="false" ht="12.8" hidden="false" customHeight="false" outlineLevel="0" collapsed="false">
      <c r="A971" s="44" t="n">
        <v>11</v>
      </c>
      <c r="B971" s="44" t="s">
        <v>167</v>
      </c>
      <c r="C971" s="44" t="s">
        <v>158</v>
      </c>
      <c r="D971" s="45" t="str">
        <f aca="true">OFFSET(plates!$B$106,CODE(LEFT(B971,1))-64,-1)&amp;"-"&amp;OFFSET(plates!$B$106,-1,MID(B971,2,3)+0)</f>
        <v>bc060-bc413</v>
      </c>
      <c r="E971" s="46" t="str">
        <f aca="true">OFFSET(plates!$B$106,CODE(LEFT(B971,1))-64,MID(B971,2,3)+0)&amp;""</f>
        <v/>
      </c>
      <c r="F971" s="46"/>
      <c r="G971" s="47"/>
      <c r="H971" s="47"/>
    </row>
    <row r="972" customFormat="false" ht="12.8" hidden="false" customHeight="false" outlineLevel="0" collapsed="false">
      <c r="A972" s="44" t="n">
        <v>11</v>
      </c>
      <c r="B972" s="44" t="s">
        <v>168</v>
      </c>
      <c r="C972" s="44" t="s">
        <v>158</v>
      </c>
      <c r="D972" s="45" t="str">
        <f aca="true">OFFSET(plates!$B$106,CODE(LEFT(B972,1))-64,-1)&amp;"-"&amp;OFFSET(plates!$B$106,-1,MID(B972,2,3)+0)</f>
        <v>bc061-bc413</v>
      </c>
      <c r="E972" s="46" t="str">
        <f aca="true">OFFSET(plates!$B$106,CODE(LEFT(B972,1))-64,MID(B972,2,3)+0)&amp;""</f>
        <v/>
      </c>
      <c r="F972" s="46"/>
      <c r="G972" s="47"/>
      <c r="H972" s="47"/>
    </row>
    <row r="973" customFormat="false" ht="12.8" hidden="false" customHeight="false" outlineLevel="0" collapsed="false">
      <c r="A973" s="44" t="n">
        <v>11</v>
      </c>
      <c r="B973" s="44" t="s">
        <v>169</v>
      </c>
      <c r="C973" s="44" t="s">
        <v>158</v>
      </c>
      <c r="D973" s="45" t="str">
        <f aca="true">OFFSET(plates!$B$106,CODE(LEFT(B973,1))-64,-1)&amp;"-"&amp;OFFSET(plates!$B$106,-1,MID(B973,2,3)+0)</f>
        <v>bc062-bc413</v>
      </c>
      <c r="E973" s="46" t="str">
        <f aca="true">OFFSET(plates!$B$106,CODE(LEFT(B973,1))-64,MID(B973,2,3)+0)&amp;""</f>
        <v/>
      </c>
      <c r="F973" s="46"/>
      <c r="G973" s="47"/>
      <c r="H973" s="47"/>
    </row>
    <row r="974" customFormat="false" ht="12.8" hidden="false" customHeight="false" outlineLevel="0" collapsed="false">
      <c r="A974" s="44" t="n">
        <v>11</v>
      </c>
      <c r="B974" s="44" t="s">
        <v>170</v>
      </c>
      <c r="C974" s="44" t="s">
        <v>158</v>
      </c>
      <c r="D974" s="45" t="str">
        <f aca="true">OFFSET(plates!$B$106,CODE(LEFT(B974,1))-64,-1)&amp;"-"&amp;OFFSET(plates!$B$106,-1,MID(B974,2,3)+0)</f>
        <v>bc095-bc413</v>
      </c>
      <c r="E974" s="46" t="str">
        <f aca="true">OFFSET(plates!$B$106,CODE(LEFT(B974,1))-64,MID(B974,2,3)+0)&amp;""</f>
        <v/>
      </c>
      <c r="F974" s="46"/>
      <c r="G974" s="47"/>
      <c r="H974" s="47"/>
    </row>
    <row r="975" customFormat="false" ht="12.8" hidden="false" customHeight="false" outlineLevel="0" collapsed="false">
      <c r="A975" s="44" t="n">
        <v>11</v>
      </c>
      <c r="B975" s="44" t="s">
        <v>171</v>
      </c>
      <c r="C975" s="44" t="s">
        <v>158</v>
      </c>
      <c r="D975" s="45" t="str">
        <f aca="true">OFFSET(plates!$B$106,CODE(LEFT(B975,1))-64,-1)&amp;"-"&amp;OFFSET(plates!$B$106,-1,MID(B975,2,3)+0)</f>
        <v>bc139-bc413</v>
      </c>
      <c r="E975" s="46" t="str">
        <f aca="true">OFFSET(plates!$B$106,CODE(LEFT(B975,1))-64,MID(B975,2,3)+0)&amp;""</f>
        <v/>
      </c>
      <c r="F975" s="46"/>
      <c r="G975" s="47"/>
      <c r="H975" s="47"/>
    </row>
    <row r="976" customFormat="false" ht="12.8" hidden="false" customHeight="false" outlineLevel="0" collapsed="false">
      <c r="A976" s="44" t="n">
        <v>11</v>
      </c>
      <c r="B976" s="44" t="s">
        <v>172</v>
      </c>
      <c r="C976" s="44" t="s">
        <v>158</v>
      </c>
      <c r="D976" s="45" t="str">
        <f aca="true">OFFSET(plates!$B$106,CODE(LEFT(B976,1))-64,-1)&amp;"-"&amp;OFFSET(plates!$B$106,-1,MID(B976,2,3)+0)</f>
        <v>bc148-bc413</v>
      </c>
      <c r="E976" s="46" t="str">
        <f aca="true">OFFSET(plates!$B$106,CODE(LEFT(B976,1))-64,MID(B976,2,3)+0)&amp;""</f>
        <v/>
      </c>
      <c r="F976" s="46"/>
      <c r="G976" s="47"/>
      <c r="H976" s="47"/>
    </row>
    <row r="977" customFormat="false" ht="12.8" hidden="false" customHeight="false" outlineLevel="0" collapsed="false">
      <c r="A977" s="44" t="n">
        <v>11</v>
      </c>
      <c r="B977" s="44" t="s">
        <v>173</v>
      </c>
      <c r="C977" s="44" t="s">
        <v>158</v>
      </c>
      <c r="D977" s="45" t="str">
        <f aca="true">OFFSET(plates!$B$106,CODE(LEFT(B977,1))-64,-1)&amp;"-"&amp;OFFSET(plates!$B$106,-1,MID(B977,2,3)+0)</f>
        <v>bc157-bc413</v>
      </c>
      <c r="E977" s="46" t="str">
        <f aca="true">OFFSET(plates!$B$106,CODE(LEFT(B977,1))-64,MID(B977,2,3)+0)&amp;""</f>
        <v/>
      </c>
      <c r="F977" s="46"/>
      <c r="G977" s="47"/>
      <c r="H977" s="47"/>
    </row>
    <row r="978" customFormat="false" ht="12.8" hidden="false" customHeight="false" outlineLevel="0" collapsed="false">
      <c r="A978" s="44" t="n">
        <v>11</v>
      </c>
      <c r="B978" s="44" t="s">
        <v>174</v>
      </c>
      <c r="C978" s="44" t="s">
        <v>158</v>
      </c>
      <c r="D978" s="45" t="str">
        <f aca="true">OFFSET(plates!$B$106,CODE(LEFT(B978,1))-64,-1)&amp;"-"&amp;OFFSET(plates!$B$106,-1,MID(B978,2,3)+0)</f>
        <v>bc018-bc414</v>
      </c>
      <c r="E978" s="46" t="str">
        <f aca="true">OFFSET(plates!$B$106,CODE(LEFT(B978,1))-64,MID(B978,2,3)+0)&amp;""</f>
        <v/>
      </c>
      <c r="F978" s="46"/>
      <c r="G978" s="47"/>
      <c r="H978" s="47"/>
    </row>
    <row r="979" customFormat="false" ht="12.8" hidden="false" customHeight="false" outlineLevel="0" collapsed="false">
      <c r="A979" s="44" t="n">
        <v>11</v>
      </c>
      <c r="B979" s="44" t="s">
        <v>175</v>
      </c>
      <c r="C979" s="44" t="s">
        <v>158</v>
      </c>
      <c r="D979" s="45" t="str">
        <f aca="true">OFFSET(plates!$B$106,CODE(LEFT(B979,1))-64,-1)&amp;"-"&amp;OFFSET(plates!$B$106,-1,MID(B979,2,3)+0)</f>
        <v>bc060-bc414</v>
      </c>
      <c r="E979" s="46" t="str">
        <f aca="true">OFFSET(plates!$B$106,CODE(LEFT(B979,1))-64,MID(B979,2,3)+0)&amp;""</f>
        <v/>
      </c>
      <c r="F979" s="46"/>
      <c r="G979" s="47"/>
      <c r="H979" s="47"/>
    </row>
    <row r="980" customFormat="false" ht="12.8" hidden="false" customHeight="false" outlineLevel="0" collapsed="false">
      <c r="A980" s="44" t="n">
        <v>11</v>
      </c>
      <c r="B980" s="44" t="s">
        <v>176</v>
      </c>
      <c r="C980" s="44" t="s">
        <v>158</v>
      </c>
      <c r="D980" s="45" t="str">
        <f aca="true">OFFSET(plates!$B$106,CODE(LEFT(B980,1))-64,-1)&amp;"-"&amp;OFFSET(plates!$B$106,-1,MID(B980,2,3)+0)</f>
        <v>bc061-bc414</v>
      </c>
      <c r="E980" s="46" t="str">
        <f aca="true">OFFSET(plates!$B$106,CODE(LEFT(B980,1))-64,MID(B980,2,3)+0)&amp;""</f>
        <v/>
      </c>
      <c r="F980" s="46"/>
      <c r="G980" s="47"/>
      <c r="H980" s="47"/>
    </row>
    <row r="981" customFormat="false" ht="12.8" hidden="false" customHeight="false" outlineLevel="0" collapsed="false">
      <c r="A981" s="44" t="n">
        <v>11</v>
      </c>
      <c r="B981" s="44" t="s">
        <v>177</v>
      </c>
      <c r="C981" s="44" t="s">
        <v>158</v>
      </c>
      <c r="D981" s="45" t="str">
        <f aca="true">OFFSET(plates!$B$106,CODE(LEFT(B981,1))-64,-1)&amp;"-"&amp;OFFSET(plates!$B$106,-1,MID(B981,2,3)+0)</f>
        <v>bc062-bc414</v>
      </c>
      <c r="E981" s="46" t="str">
        <f aca="true">OFFSET(plates!$B$106,CODE(LEFT(B981,1))-64,MID(B981,2,3)+0)&amp;""</f>
        <v/>
      </c>
      <c r="F981" s="46"/>
      <c r="G981" s="47"/>
      <c r="H981" s="47"/>
    </row>
    <row r="982" customFormat="false" ht="12.8" hidden="false" customHeight="false" outlineLevel="0" collapsed="false">
      <c r="A982" s="44" t="n">
        <v>11</v>
      </c>
      <c r="B982" s="44" t="s">
        <v>178</v>
      </c>
      <c r="C982" s="44" t="s">
        <v>158</v>
      </c>
      <c r="D982" s="45" t="str">
        <f aca="true">OFFSET(plates!$B$106,CODE(LEFT(B982,1))-64,-1)&amp;"-"&amp;OFFSET(plates!$B$106,-1,MID(B982,2,3)+0)</f>
        <v>bc095-bc414</v>
      </c>
      <c r="E982" s="46" t="str">
        <f aca="true">OFFSET(plates!$B$106,CODE(LEFT(B982,1))-64,MID(B982,2,3)+0)&amp;""</f>
        <v/>
      </c>
      <c r="F982" s="46"/>
      <c r="G982" s="47"/>
      <c r="H982" s="47"/>
    </row>
    <row r="983" customFormat="false" ht="12.8" hidden="false" customHeight="false" outlineLevel="0" collapsed="false">
      <c r="A983" s="44" t="n">
        <v>11</v>
      </c>
      <c r="B983" s="44" t="s">
        <v>179</v>
      </c>
      <c r="C983" s="44" t="s">
        <v>158</v>
      </c>
      <c r="D983" s="45" t="str">
        <f aca="true">OFFSET(plates!$B$106,CODE(LEFT(B983,1))-64,-1)&amp;"-"&amp;OFFSET(plates!$B$106,-1,MID(B983,2,3)+0)</f>
        <v>bc139-bc414</v>
      </c>
      <c r="E983" s="46" t="str">
        <f aca="true">OFFSET(plates!$B$106,CODE(LEFT(B983,1))-64,MID(B983,2,3)+0)&amp;""</f>
        <v/>
      </c>
      <c r="F983" s="46"/>
      <c r="G983" s="47"/>
      <c r="H983" s="47"/>
    </row>
    <row r="984" customFormat="false" ht="12.8" hidden="false" customHeight="false" outlineLevel="0" collapsed="false">
      <c r="A984" s="44" t="n">
        <v>11</v>
      </c>
      <c r="B984" s="44" t="s">
        <v>180</v>
      </c>
      <c r="C984" s="44" t="s">
        <v>158</v>
      </c>
      <c r="D984" s="45" t="str">
        <f aca="true">OFFSET(plates!$B$106,CODE(LEFT(B984,1))-64,-1)&amp;"-"&amp;OFFSET(plates!$B$106,-1,MID(B984,2,3)+0)</f>
        <v>bc148-bc414</v>
      </c>
      <c r="E984" s="46" t="str">
        <f aca="true">OFFSET(plates!$B$106,CODE(LEFT(B984,1))-64,MID(B984,2,3)+0)&amp;""</f>
        <v/>
      </c>
      <c r="F984" s="46"/>
      <c r="G984" s="47"/>
      <c r="H984" s="47"/>
    </row>
    <row r="985" customFormat="false" ht="12.8" hidden="false" customHeight="false" outlineLevel="0" collapsed="false">
      <c r="A985" s="44" t="n">
        <v>11</v>
      </c>
      <c r="B985" s="44" t="s">
        <v>181</v>
      </c>
      <c r="C985" s="44" t="s">
        <v>158</v>
      </c>
      <c r="D985" s="45" t="str">
        <f aca="true">OFFSET(plates!$B$106,CODE(LEFT(B985,1))-64,-1)&amp;"-"&amp;OFFSET(plates!$B$106,-1,MID(B985,2,3)+0)</f>
        <v>bc157-bc414</v>
      </c>
      <c r="E985" s="46" t="str">
        <f aca="true">OFFSET(plates!$B$106,CODE(LEFT(B985,1))-64,MID(B985,2,3)+0)&amp;""</f>
        <v/>
      </c>
      <c r="F985" s="46"/>
      <c r="G985" s="47"/>
      <c r="H985" s="47"/>
    </row>
    <row r="986" customFormat="false" ht="12.8" hidden="false" customHeight="false" outlineLevel="0" collapsed="false">
      <c r="A986" s="44" t="n">
        <v>11</v>
      </c>
      <c r="B986" s="44" t="s">
        <v>182</v>
      </c>
      <c r="C986" s="44" t="s">
        <v>158</v>
      </c>
      <c r="D986" s="45" t="str">
        <f aca="true">OFFSET(plates!$B$106,CODE(LEFT(B986,1))-64,-1)&amp;"-"&amp;OFFSET(plates!$B$106,-1,MID(B986,2,3)+0)</f>
        <v>bc018-bc418</v>
      </c>
      <c r="E986" s="46" t="str">
        <f aca="true">OFFSET(plates!$B$106,CODE(LEFT(B986,1))-64,MID(B986,2,3)+0)&amp;""</f>
        <v/>
      </c>
      <c r="F986" s="46"/>
      <c r="G986" s="47"/>
      <c r="H986" s="47"/>
    </row>
    <row r="987" customFormat="false" ht="12.8" hidden="false" customHeight="false" outlineLevel="0" collapsed="false">
      <c r="A987" s="44" t="n">
        <v>11</v>
      </c>
      <c r="B987" s="44" t="s">
        <v>183</v>
      </c>
      <c r="C987" s="44" t="s">
        <v>158</v>
      </c>
      <c r="D987" s="45" t="str">
        <f aca="true">OFFSET(plates!$B$106,CODE(LEFT(B987,1))-64,-1)&amp;"-"&amp;OFFSET(plates!$B$106,-1,MID(B987,2,3)+0)</f>
        <v>bc060-bc418</v>
      </c>
      <c r="E987" s="46" t="str">
        <f aca="true">OFFSET(plates!$B$106,CODE(LEFT(B987,1))-64,MID(B987,2,3)+0)&amp;""</f>
        <v/>
      </c>
      <c r="F987" s="46"/>
      <c r="G987" s="47"/>
      <c r="H987" s="47"/>
    </row>
    <row r="988" customFormat="false" ht="12.8" hidden="false" customHeight="false" outlineLevel="0" collapsed="false">
      <c r="A988" s="44" t="n">
        <v>11</v>
      </c>
      <c r="B988" s="44" t="s">
        <v>184</v>
      </c>
      <c r="C988" s="44" t="s">
        <v>158</v>
      </c>
      <c r="D988" s="45" t="str">
        <f aca="true">OFFSET(plates!$B$106,CODE(LEFT(B988,1))-64,-1)&amp;"-"&amp;OFFSET(plates!$B$106,-1,MID(B988,2,3)+0)</f>
        <v>bc061-bc418</v>
      </c>
      <c r="E988" s="46" t="str">
        <f aca="true">OFFSET(plates!$B$106,CODE(LEFT(B988,1))-64,MID(B988,2,3)+0)&amp;""</f>
        <v/>
      </c>
      <c r="F988" s="46"/>
      <c r="G988" s="47"/>
      <c r="H988" s="47"/>
    </row>
    <row r="989" customFormat="false" ht="12.8" hidden="false" customHeight="false" outlineLevel="0" collapsed="false">
      <c r="A989" s="44" t="n">
        <v>11</v>
      </c>
      <c r="B989" s="44" t="s">
        <v>185</v>
      </c>
      <c r="C989" s="44" t="s">
        <v>158</v>
      </c>
      <c r="D989" s="45" t="str">
        <f aca="true">OFFSET(plates!$B$106,CODE(LEFT(B989,1))-64,-1)&amp;"-"&amp;OFFSET(plates!$B$106,-1,MID(B989,2,3)+0)</f>
        <v>bc062-bc418</v>
      </c>
      <c r="E989" s="46" t="str">
        <f aca="true">OFFSET(plates!$B$106,CODE(LEFT(B989,1))-64,MID(B989,2,3)+0)&amp;""</f>
        <v/>
      </c>
      <c r="F989" s="46"/>
      <c r="G989" s="47"/>
      <c r="H989" s="47"/>
    </row>
    <row r="990" customFormat="false" ht="12.8" hidden="false" customHeight="false" outlineLevel="0" collapsed="false">
      <c r="A990" s="44" t="n">
        <v>11</v>
      </c>
      <c r="B990" s="44" t="s">
        <v>186</v>
      </c>
      <c r="C990" s="44" t="s">
        <v>158</v>
      </c>
      <c r="D990" s="45" t="str">
        <f aca="true">OFFSET(plates!$B$106,CODE(LEFT(B990,1))-64,-1)&amp;"-"&amp;OFFSET(plates!$B$106,-1,MID(B990,2,3)+0)</f>
        <v>bc095-bc418</v>
      </c>
      <c r="E990" s="46" t="str">
        <f aca="true">OFFSET(plates!$B$106,CODE(LEFT(B990,1))-64,MID(B990,2,3)+0)&amp;""</f>
        <v/>
      </c>
      <c r="F990" s="46"/>
      <c r="G990" s="47"/>
      <c r="H990" s="47"/>
    </row>
    <row r="991" customFormat="false" ht="12.8" hidden="false" customHeight="false" outlineLevel="0" collapsed="false">
      <c r="A991" s="44" t="n">
        <v>11</v>
      </c>
      <c r="B991" s="44" t="s">
        <v>187</v>
      </c>
      <c r="C991" s="44" t="s">
        <v>158</v>
      </c>
      <c r="D991" s="45" t="str">
        <f aca="true">OFFSET(plates!$B$106,CODE(LEFT(B991,1))-64,-1)&amp;"-"&amp;OFFSET(plates!$B$106,-1,MID(B991,2,3)+0)</f>
        <v>bc139-bc418</v>
      </c>
      <c r="E991" s="46" t="str">
        <f aca="true">OFFSET(plates!$B$106,CODE(LEFT(B991,1))-64,MID(B991,2,3)+0)&amp;""</f>
        <v/>
      </c>
      <c r="F991" s="46"/>
      <c r="G991" s="47"/>
      <c r="H991" s="47"/>
    </row>
    <row r="992" customFormat="false" ht="12.8" hidden="false" customHeight="false" outlineLevel="0" collapsed="false">
      <c r="A992" s="44" t="n">
        <v>11</v>
      </c>
      <c r="B992" s="44" t="s">
        <v>188</v>
      </c>
      <c r="C992" s="44" t="s">
        <v>158</v>
      </c>
      <c r="D992" s="45" t="str">
        <f aca="true">OFFSET(plates!$B$106,CODE(LEFT(B992,1))-64,-1)&amp;"-"&amp;OFFSET(plates!$B$106,-1,MID(B992,2,3)+0)</f>
        <v>bc148-bc418</v>
      </c>
      <c r="E992" s="46" t="str">
        <f aca="true">OFFSET(plates!$B$106,CODE(LEFT(B992,1))-64,MID(B992,2,3)+0)&amp;""</f>
        <v/>
      </c>
      <c r="F992" s="46"/>
      <c r="G992" s="47"/>
      <c r="H992" s="47"/>
    </row>
    <row r="993" customFormat="false" ht="12.8" hidden="false" customHeight="false" outlineLevel="0" collapsed="false">
      <c r="A993" s="44" t="n">
        <v>11</v>
      </c>
      <c r="B993" s="44" t="s">
        <v>189</v>
      </c>
      <c r="C993" s="44" t="s">
        <v>158</v>
      </c>
      <c r="D993" s="45" t="str">
        <f aca="true">OFFSET(plates!$B$106,CODE(LEFT(B993,1))-64,-1)&amp;"-"&amp;OFFSET(plates!$B$106,-1,MID(B993,2,3)+0)</f>
        <v>bc157-bc418</v>
      </c>
      <c r="E993" s="46" t="str">
        <f aca="true">OFFSET(plates!$B$106,CODE(LEFT(B993,1))-64,MID(B993,2,3)+0)&amp;""</f>
        <v/>
      </c>
      <c r="F993" s="46"/>
      <c r="G993" s="47"/>
      <c r="H993" s="47"/>
    </row>
    <row r="994" customFormat="false" ht="12.8" hidden="false" customHeight="false" outlineLevel="0" collapsed="false">
      <c r="A994" s="44" t="n">
        <v>11</v>
      </c>
      <c r="B994" s="44" t="s">
        <v>190</v>
      </c>
      <c r="C994" s="44" t="s">
        <v>158</v>
      </c>
      <c r="D994" s="45" t="str">
        <f aca="true">OFFSET(plates!$B$106,CODE(LEFT(B994,1))-64,-1)&amp;"-"&amp;OFFSET(plates!$B$106,-1,MID(B994,2,3)+0)</f>
        <v>bc018-bc436</v>
      </c>
      <c r="E994" s="46" t="str">
        <f aca="true">OFFSET(plates!$B$106,CODE(LEFT(B994,1))-64,MID(B994,2,3)+0)&amp;""</f>
        <v/>
      </c>
      <c r="F994" s="46"/>
      <c r="G994" s="47"/>
      <c r="H994" s="47"/>
    </row>
    <row r="995" customFormat="false" ht="12.8" hidden="false" customHeight="false" outlineLevel="0" collapsed="false">
      <c r="A995" s="44" t="n">
        <v>11</v>
      </c>
      <c r="B995" s="44" t="s">
        <v>191</v>
      </c>
      <c r="C995" s="44" t="s">
        <v>158</v>
      </c>
      <c r="D995" s="45" t="str">
        <f aca="true">OFFSET(plates!$B$106,CODE(LEFT(B995,1))-64,-1)&amp;"-"&amp;OFFSET(plates!$B$106,-1,MID(B995,2,3)+0)</f>
        <v>bc060-bc436</v>
      </c>
      <c r="E995" s="46" t="str">
        <f aca="true">OFFSET(plates!$B$106,CODE(LEFT(B995,1))-64,MID(B995,2,3)+0)&amp;""</f>
        <v/>
      </c>
      <c r="F995" s="46"/>
      <c r="G995" s="47"/>
      <c r="H995" s="47"/>
    </row>
    <row r="996" customFormat="false" ht="12.8" hidden="false" customHeight="false" outlineLevel="0" collapsed="false">
      <c r="A996" s="44" t="n">
        <v>11</v>
      </c>
      <c r="B996" s="44" t="s">
        <v>192</v>
      </c>
      <c r="C996" s="44" t="s">
        <v>158</v>
      </c>
      <c r="D996" s="45" t="str">
        <f aca="true">OFFSET(plates!$B$106,CODE(LEFT(B996,1))-64,-1)&amp;"-"&amp;OFFSET(plates!$B$106,-1,MID(B996,2,3)+0)</f>
        <v>bc061-bc436</v>
      </c>
      <c r="E996" s="46" t="str">
        <f aca="true">OFFSET(plates!$B$106,CODE(LEFT(B996,1))-64,MID(B996,2,3)+0)&amp;""</f>
        <v/>
      </c>
      <c r="F996" s="46"/>
      <c r="G996" s="47"/>
      <c r="H996" s="47"/>
    </row>
    <row r="997" customFormat="false" ht="12.8" hidden="false" customHeight="false" outlineLevel="0" collapsed="false">
      <c r="A997" s="44" t="n">
        <v>11</v>
      </c>
      <c r="B997" s="44" t="s">
        <v>193</v>
      </c>
      <c r="C997" s="44" t="s">
        <v>158</v>
      </c>
      <c r="D997" s="45" t="str">
        <f aca="true">OFFSET(plates!$B$106,CODE(LEFT(B997,1))-64,-1)&amp;"-"&amp;OFFSET(plates!$B$106,-1,MID(B997,2,3)+0)</f>
        <v>bc062-bc436</v>
      </c>
      <c r="E997" s="46" t="str">
        <f aca="true">OFFSET(plates!$B$106,CODE(LEFT(B997,1))-64,MID(B997,2,3)+0)&amp;""</f>
        <v/>
      </c>
      <c r="F997" s="46"/>
      <c r="G997" s="47"/>
      <c r="H997" s="47"/>
    </row>
    <row r="998" customFormat="false" ht="12.8" hidden="false" customHeight="false" outlineLevel="0" collapsed="false">
      <c r="A998" s="44" t="n">
        <v>11</v>
      </c>
      <c r="B998" s="44" t="s">
        <v>194</v>
      </c>
      <c r="C998" s="44" t="s">
        <v>158</v>
      </c>
      <c r="D998" s="45" t="str">
        <f aca="true">OFFSET(plates!$B$106,CODE(LEFT(B998,1))-64,-1)&amp;"-"&amp;OFFSET(plates!$B$106,-1,MID(B998,2,3)+0)</f>
        <v>bc095-bc436</v>
      </c>
      <c r="E998" s="46" t="str">
        <f aca="true">OFFSET(plates!$B$106,CODE(LEFT(B998,1))-64,MID(B998,2,3)+0)&amp;""</f>
        <v/>
      </c>
      <c r="F998" s="46"/>
      <c r="G998" s="47"/>
      <c r="H998" s="47"/>
    </row>
    <row r="999" customFormat="false" ht="12.8" hidden="false" customHeight="false" outlineLevel="0" collapsed="false">
      <c r="A999" s="44" t="n">
        <v>11</v>
      </c>
      <c r="B999" s="44" t="s">
        <v>195</v>
      </c>
      <c r="C999" s="44" t="s">
        <v>158</v>
      </c>
      <c r="D999" s="45" t="str">
        <f aca="true">OFFSET(plates!$B$106,CODE(LEFT(B999,1))-64,-1)&amp;"-"&amp;OFFSET(plates!$B$106,-1,MID(B999,2,3)+0)</f>
        <v>bc139-bc436</v>
      </c>
      <c r="E999" s="46" t="str">
        <f aca="true">OFFSET(plates!$B$106,CODE(LEFT(B999,1))-64,MID(B999,2,3)+0)&amp;""</f>
        <v/>
      </c>
      <c r="F999" s="46"/>
      <c r="G999" s="47"/>
      <c r="H999" s="47"/>
    </row>
    <row r="1000" customFormat="false" ht="12.8" hidden="false" customHeight="false" outlineLevel="0" collapsed="false">
      <c r="A1000" s="44" t="n">
        <v>11</v>
      </c>
      <c r="B1000" s="44" t="s">
        <v>196</v>
      </c>
      <c r="C1000" s="44" t="s">
        <v>158</v>
      </c>
      <c r="D1000" s="45" t="str">
        <f aca="true">OFFSET(plates!$B$106,CODE(LEFT(B1000,1))-64,-1)&amp;"-"&amp;OFFSET(plates!$B$106,-1,MID(B1000,2,3)+0)</f>
        <v>bc148-bc436</v>
      </c>
      <c r="E1000" s="46" t="str">
        <f aca="true">OFFSET(plates!$B$106,CODE(LEFT(B1000,1))-64,MID(B1000,2,3)+0)&amp;""</f>
        <v/>
      </c>
      <c r="F1000" s="46"/>
      <c r="G1000" s="47"/>
      <c r="H1000" s="47"/>
    </row>
    <row r="1001" customFormat="false" ht="12.8" hidden="false" customHeight="false" outlineLevel="0" collapsed="false">
      <c r="A1001" s="44" t="n">
        <v>11</v>
      </c>
      <c r="B1001" s="44" t="s">
        <v>197</v>
      </c>
      <c r="C1001" s="44" t="s">
        <v>158</v>
      </c>
      <c r="D1001" s="45" t="str">
        <f aca="true">OFFSET(plates!$B$106,CODE(LEFT(B1001,1))-64,-1)&amp;"-"&amp;OFFSET(plates!$B$106,-1,MID(B1001,2,3)+0)</f>
        <v>bc157-bc436</v>
      </c>
      <c r="E1001" s="46" t="str">
        <f aca="true">OFFSET(plates!$B$106,CODE(LEFT(B1001,1))-64,MID(B1001,2,3)+0)&amp;""</f>
        <v/>
      </c>
      <c r="F1001" s="46"/>
      <c r="G1001" s="47"/>
      <c r="H1001" s="47"/>
    </row>
    <row r="1002" customFormat="false" ht="12.8" hidden="false" customHeight="false" outlineLevel="0" collapsed="false">
      <c r="A1002" s="44" t="n">
        <v>11</v>
      </c>
      <c r="B1002" s="44" t="s">
        <v>198</v>
      </c>
      <c r="C1002" s="44" t="s">
        <v>158</v>
      </c>
      <c r="D1002" s="45" t="str">
        <f aca="true">OFFSET(plates!$B$106,CODE(LEFT(B1002,1))-64,-1)&amp;"-"&amp;OFFSET(plates!$B$106,-1,MID(B1002,2,3)+0)</f>
        <v>bc018-bc471</v>
      </c>
      <c r="E1002" s="46" t="str">
        <f aca="true">OFFSET(plates!$B$106,CODE(LEFT(B1002,1))-64,MID(B1002,2,3)+0)&amp;""</f>
        <v/>
      </c>
      <c r="F1002" s="46"/>
      <c r="G1002" s="47"/>
      <c r="H1002" s="47"/>
    </row>
    <row r="1003" customFormat="false" ht="12.8" hidden="false" customHeight="false" outlineLevel="0" collapsed="false">
      <c r="A1003" s="44" t="n">
        <v>11</v>
      </c>
      <c r="B1003" s="44" t="s">
        <v>199</v>
      </c>
      <c r="C1003" s="44" t="s">
        <v>158</v>
      </c>
      <c r="D1003" s="45" t="str">
        <f aca="true">OFFSET(plates!$B$106,CODE(LEFT(B1003,1))-64,-1)&amp;"-"&amp;OFFSET(plates!$B$106,-1,MID(B1003,2,3)+0)</f>
        <v>bc060-bc471</v>
      </c>
      <c r="E1003" s="46" t="str">
        <f aca="true">OFFSET(plates!$B$106,CODE(LEFT(B1003,1))-64,MID(B1003,2,3)+0)&amp;""</f>
        <v/>
      </c>
      <c r="F1003" s="46"/>
      <c r="G1003" s="47"/>
      <c r="H1003" s="47"/>
    </row>
    <row r="1004" customFormat="false" ht="12.8" hidden="false" customHeight="false" outlineLevel="0" collapsed="false">
      <c r="A1004" s="44" t="n">
        <v>11</v>
      </c>
      <c r="B1004" s="44" t="s">
        <v>200</v>
      </c>
      <c r="C1004" s="44" t="s">
        <v>158</v>
      </c>
      <c r="D1004" s="45" t="str">
        <f aca="true">OFFSET(plates!$B$106,CODE(LEFT(B1004,1))-64,-1)&amp;"-"&amp;OFFSET(plates!$B$106,-1,MID(B1004,2,3)+0)</f>
        <v>bc061-bc471</v>
      </c>
      <c r="E1004" s="46" t="str">
        <f aca="true">OFFSET(plates!$B$106,CODE(LEFT(B1004,1))-64,MID(B1004,2,3)+0)&amp;""</f>
        <v/>
      </c>
      <c r="F1004" s="46"/>
      <c r="G1004" s="47"/>
      <c r="H1004" s="47"/>
    </row>
    <row r="1005" customFormat="false" ht="12.8" hidden="false" customHeight="false" outlineLevel="0" collapsed="false">
      <c r="A1005" s="44" t="n">
        <v>11</v>
      </c>
      <c r="B1005" s="44" t="s">
        <v>201</v>
      </c>
      <c r="C1005" s="44" t="s">
        <v>158</v>
      </c>
      <c r="D1005" s="45" t="str">
        <f aca="true">OFFSET(plates!$B$106,CODE(LEFT(B1005,1))-64,-1)&amp;"-"&amp;OFFSET(plates!$B$106,-1,MID(B1005,2,3)+0)</f>
        <v>bc062-bc471</v>
      </c>
      <c r="E1005" s="46" t="str">
        <f aca="true">OFFSET(plates!$B$106,CODE(LEFT(B1005,1))-64,MID(B1005,2,3)+0)&amp;""</f>
        <v/>
      </c>
      <c r="F1005" s="46"/>
      <c r="G1005" s="47"/>
      <c r="H1005" s="47"/>
    </row>
    <row r="1006" customFormat="false" ht="12.8" hidden="false" customHeight="false" outlineLevel="0" collapsed="false">
      <c r="A1006" s="44" t="n">
        <v>11</v>
      </c>
      <c r="B1006" s="44" t="s">
        <v>202</v>
      </c>
      <c r="C1006" s="44" t="s">
        <v>158</v>
      </c>
      <c r="D1006" s="45" t="str">
        <f aca="true">OFFSET(plates!$B$106,CODE(LEFT(B1006,1))-64,-1)&amp;"-"&amp;OFFSET(plates!$B$106,-1,MID(B1006,2,3)+0)</f>
        <v>bc095-bc471</v>
      </c>
      <c r="E1006" s="46" t="str">
        <f aca="true">OFFSET(plates!$B$106,CODE(LEFT(B1006,1))-64,MID(B1006,2,3)+0)&amp;""</f>
        <v/>
      </c>
      <c r="F1006" s="46"/>
      <c r="G1006" s="47"/>
      <c r="H1006" s="47"/>
    </row>
    <row r="1007" customFormat="false" ht="12.8" hidden="false" customHeight="false" outlineLevel="0" collapsed="false">
      <c r="A1007" s="44" t="n">
        <v>11</v>
      </c>
      <c r="B1007" s="44" t="s">
        <v>203</v>
      </c>
      <c r="C1007" s="44" t="s">
        <v>158</v>
      </c>
      <c r="D1007" s="45" t="str">
        <f aca="true">OFFSET(plates!$B$106,CODE(LEFT(B1007,1))-64,-1)&amp;"-"&amp;OFFSET(plates!$B$106,-1,MID(B1007,2,3)+0)</f>
        <v>bc139-bc471</v>
      </c>
      <c r="E1007" s="46" t="str">
        <f aca="true">OFFSET(plates!$B$106,CODE(LEFT(B1007,1))-64,MID(B1007,2,3)+0)&amp;""</f>
        <v/>
      </c>
      <c r="F1007" s="46"/>
      <c r="G1007" s="47"/>
      <c r="H1007" s="47"/>
    </row>
    <row r="1008" customFormat="false" ht="12.8" hidden="false" customHeight="false" outlineLevel="0" collapsed="false">
      <c r="A1008" s="44" t="n">
        <v>11</v>
      </c>
      <c r="B1008" s="44" t="s">
        <v>204</v>
      </c>
      <c r="C1008" s="44" t="s">
        <v>158</v>
      </c>
      <c r="D1008" s="45" t="str">
        <f aca="true">OFFSET(plates!$B$106,CODE(LEFT(B1008,1))-64,-1)&amp;"-"&amp;OFFSET(plates!$B$106,-1,MID(B1008,2,3)+0)</f>
        <v>bc148-bc471</v>
      </c>
      <c r="E1008" s="46" t="str">
        <f aca="true">OFFSET(plates!$B$106,CODE(LEFT(B1008,1))-64,MID(B1008,2,3)+0)&amp;""</f>
        <v/>
      </c>
      <c r="F1008" s="46"/>
      <c r="G1008" s="47"/>
      <c r="H1008" s="47"/>
    </row>
    <row r="1009" customFormat="false" ht="12.8" hidden="false" customHeight="false" outlineLevel="0" collapsed="false">
      <c r="A1009" s="44" t="n">
        <v>11</v>
      </c>
      <c r="B1009" s="44" t="s">
        <v>205</v>
      </c>
      <c r="C1009" s="44" t="s">
        <v>158</v>
      </c>
      <c r="D1009" s="45" t="str">
        <f aca="true">OFFSET(plates!$B$106,CODE(LEFT(B1009,1))-64,-1)&amp;"-"&amp;OFFSET(plates!$B$106,-1,MID(B1009,2,3)+0)</f>
        <v>bc157-bc471</v>
      </c>
      <c r="E1009" s="46" t="str">
        <f aca="true">OFFSET(plates!$B$106,CODE(LEFT(B1009,1))-64,MID(B1009,2,3)+0)&amp;""</f>
        <v/>
      </c>
      <c r="F1009" s="46"/>
      <c r="G1009" s="47"/>
      <c r="H1009" s="47"/>
    </row>
    <row r="1010" customFormat="false" ht="12.8" hidden="false" customHeight="false" outlineLevel="0" collapsed="false">
      <c r="A1010" s="44" t="n">
        <v>11</v>
      </c>
      <c r="B1010" s="44" t="s">
        <v>206</v>
      </c>
      <c r="C1010" s="44" t="s">
        <v>158</v>
      </c>
      <c r="D1010" s="45" t="str">
        <f aca="true">OFFSET(plates!$B$106,CODE(LEFT(B1010,1))-64,-1)&amp;"-"&amp;OFFSET(plates!$B$106,-1,MID(B1010,2,3)+0)</f>
        <v>bc018-bc488</v>
      </c>
      <c r="E1010" s="46" t="str">
        <f aca="true">OFFSET(plates!$B$106,CODE(LEFT(B1010,1))-64,MID(B1010,2,3)+0)&amp;""</f>
        <v/>
      </c>
      <c r="F1010" s="46"/>
      <c r="G1010" s="47"/>
      <c r="H1010" s="47"/>
    </row>
    <row r="1011" customFormat="false" ht="12.8" hidden="false" customHeight="false" outlineLevel="0" collapsed="false">
      <c r="A1011" s="44" t="n">
        <v>11</v>
      </c>
      <c r="B1011" s="44" t="s">
        <v>207</v>
      </c>
      <c r="C1011" s="44" t="s">
        <v>158</v>
      </c>
      <c r="D1011" s="45" t="str">
        <f aca="true">OFFSET(plates!$B$106,CODE(LEFT(B1011,1))-64,-1)&amp;"-"&amp;OFFSET(plates!$B$106,-1,MID(B1011,2,3)+0)</f>
        <v>bc060-bc488</v>
      </c>
      <c r="E1011" s="46" t="str">
        <f aca="true">OFFSET(plates!$B$106,CODE(LEFT(B1011,1))-64,MID(B1011,2,3)+0)&amp;""</f>
        <v/>
      </c>
      <c r="F1011" s="46"/>
      <c r="G1011" s="47"/>
      <c r="H1011" s="47"/>
    </row>
    <row r="1012" customFormat="false" ht="12.8" hidden="false" customHeight="false" outlineLevel="0" collapsed="false">
      <c r="A1012" s="44" t="n">
        <v>11</v>
      </c>
      <c r="B1012" s="44" t="s">
        <v>208</v>
      </c>
      <c r="C1012" s="44" t="s">
        <v>158</v>
      </c>
      <c r="D1012" s="45" t="str">
        <f aca="true">OFFSET(plates!$B$106,CODE(LEFT(B1012,1))-64,-1)&amp;"-"&amp;OFFSET(plates!$B$106,-1,MID(B1012,2,3)+0)</f>
        <v>bc061-bc488</v>
      </c>
      <c r="E1012" s="46" t="str">
        <f aca="true">OFFSET(plates!$B$106,CODE(LEFT(B1012,1))-64,MID(B1012,2,3)+0)&amp;""</f>
        <v/>
      </c>
      <c r="F1012" s="46"/>
      <c r="G1012" s="47"/>
      <c r="H1012" s="47"/>
    </row>
    <row r="1013" customFormat="false" ht="12.8" hidden="false" customHeight="false" outlineLevel="0" collapsed="false">
      <c r="A1013" s="44" t="n">
        <v>11</v>
      </c>
      <c r="B1013" s="44" t="s">
        <v>209</v>
      </c>
      <c r="C1013" s="44" t="s">
        <v>158</v>
      </c>
      <c r="D1013" s="45" t="str">
        <f aca="true">OFFSET(plates!$B$106,CODE(LEFT(B1013,1))-64,-1)&amp;"-"&amp;OFFSET(plates!$B$106,-1,MID(B1013,2,3)+0)</f>
        <v>bc062-bc488</v>
      </c>
      <c r="E1013" s="46" t="str">
        <f aca="true">OFFSET(plates!$B$106,CODE(LEFT(B1013,1))-64,MID(B1013,2,3)+0)&amp;""</f>
        <v/>
      </c>
      <c r="F1013" s="46"/>
      <c r="G1013" s="47"/>
      <c r="H1013" s="47"/>
    </row>
    <row r="1014" customFormat="false" ht="12.8" hidden="false" customHeight="false" outlineLevel="0" collapsed="false">
      <c r="A1014" s="44" t="n">
        <v>11</v>
      </c>
      <c r="B1014" s="44" t="s">
        <v>210</v>
      </c>
      <c r="C1014" s="44" t="s">
        <v>158</v>
      </c>
      <c r="D1014" s="45" t="str">
        <f aca="true">OFFSET(plates!$B$106,CODE(LEFT(B1014,1))-64,-1)&amp;"-"&amp;OFFSET(plates!$B$106,-1,MID(B1014,2,3)+0)</f>
        <v>bc095-bc488</v>
      </c>
      <c r="E1014" s="46" t="str">
        <f aca="true">OFFSET(plates!$B$106,CODE(LEFT(B1014,1))-64,MID(B1014,2,3)+0)&amp;""</f>
        <v/>
      </c>
      <c r="F1014" s="46"/>
      <c r="G1014" s="47"/>
      <c r="H1014" s="47"/>
    </row>
    <row r="1015" customFormat="false" ht="12.8" hidden="false" customHeight="false" outlineLevel="0" collapsed="false">
      <c r="A1015" s="44" t="n">
        <v>11</v>
      </c>
      <c r="B1015" s="44" t="s">
        <v>211</v>
      </c>
      <c r="C1015" s="44" t="s">
        <v>158</v>
      </c>
      <c r="D1015" s="45" t="str">
        <f aca="true">OFFSET(plates!$B$106,CODE(LEFT(B1015,1))-64,-1)&amp;"-"&amp;OFFSET(plates!$B$106,-1,MID(B1015,2,3)+0)</f>
        <v>bc139-bc488</v>
      </c>
      <c r="E1015" s="46" t="str">
        <f aca="true">OFFSET(plates!$B$106,CODE(LEFT(B1015,1))-64,MID(B1015,2,3)+0)&amp;""</f>
        <v/>
      </c>
      <c r="F1015" s="46"/>
      <c r="G1015" s="47"/>
      <c r="H1015" s="47"/>
    </row>
    <row r="1016" customFormat="false" ht="12.8" hidden="false" customHeight="false" outlineLevel="0" collapsed="false">
      <c r="A1016" s="44" t="n">
        <v>11</v>
      </c>
      <c r="B1016" s="44" t="s">
        <v>212</v>
      </c>
      <c r="C1016" s="44" t="s">
        <v>158</v>
      </c>
      <c r="D1016" s="45" t="str">
        <f aca="true">OFFSET(plates!$B$106,CODE(LEFT(B1016,1))-64,-1)&amp;"-"&amp;OFFSET(plates!$B$106,-1,MID(B1016,2,3)+0)</f>
        <v>bc148-bc488</v>
      </c>
      <c r="E1016" s="46" t="str">
        <f aca="true">OFFSET(plates!$B$106,CODE(LEFT(B1016,1))-64,MID(B1016,2,3)+0)&amp;""</f>
        <v/>
      </c>
      <c r="F1016" s="46"/>
      <c r="G1016" s="47"/>
      <c r="H1016" s="47"/>
    </row>
    <row r="1017" customFormat="false" ht="12.8" hidden="false" customHeight="false" outlineLevel="0" collapsed="false">
      <c r="A1017" s="44" t="n">
        <v>11</v>
      </c>
      <c r="B1017" s="44" t="s">
        <v>213</v>
      </c>
      <c r="C1017" s="44" t="s">
        <v>158</v>
      </c>
      <c r="D1017" s="45" t="str">
        <f aca="true">OFFSET(plates!$B$106,CODE(LEFT(B1017,1))-64,-1)&amp;"-"&amp;OFFSET(plates!$B$106,-1,MID(B1017,2,3)+0)</f>
        <v>bc157-bc488</v>
      </c>
      <c r="E1017" s="46" t="str">
        <f aca="true">OFFSET(plates!$B$106,CODE(LEFT(B1017,1))-64,MID(B1017,2,3)+0)&amp;""</f>
        <v/>
      </c>
      <c r="F1017" s="46"/>
      <c r="G1017" s="47"/>
      <c r="H1017" s="47"/>
    </row>
    <row r="1018" customFormat="false" ht="12.8" hidden="false" customHeight="false" outlineLevel="0" collapsed="false">
      <c r="A1018" s="44" t="n">
        <v>11</v>
      </c>
      <c r="B1018" s="44" t="s">
        <v>214</v>
      </c>
      <c r="C1018" s="44" t="s">
        <v>158</v>
      </c>
      <c r="D1018" s="45" t="str">
        <f aca="true">OFFSET(plates!$B$106,CODE(LEFT(B1018,1))-64,-1)&amp;"-"&amp;OFFSET(plates!$B$106,-1,MID(B1018,2,3)+0)</f>
        <v>bc018-bc497</v>
      </c>
      <c r="E1018" s="46" t="str">
        <f aca="true">OFFSET(plates!$B$106,CODE(LEFT(B1018,1))-64,MID(B1018,2,3)+0)&amp;""</f>
        <v/>
      </c>
      <c r="F1018" s="46"/>
      <c r="G1018" s="47"/>
      <c r="H1018" s="47"/>
    </row>
    <row r="1019" customFormat="false" ht="12.8" hidden="false" customHeight="false" outlineLevel="0" collapsed="false">
      <c r="A1019" s="44" t="n">
        <v>11</v>
      </c>
      <c r="B1019" s="44" t="s">
        <v>215</v>
      </c>
      <c r="C1019" s="44" t="s">
        <v>158</v>
      </c>
      <c r="D1019" s="45" t="str">
        <f aca="true">OFFSET(plates!$B$106,CODE(LEFT(B1019,1))-64,-1)&amp;"-"&amp;OFFSET(plates!$B$106,-1,MID(B1019,2,3)+0)</f>
        <v>bc060-bc497</v>
      </c>
      <c r="E1019" s="46" t="str">
        <f aca="true">OFFSET(plates!$B$106,CODE(LEFT(B1019,1))-64,MID(B1019,2,3)+0)&amp;""</f>
        <v/>
      </c>
      <c r="F1019" s="46"/>
      <c r="G1019" s="47"/>
      <c r="H1019" s="47"/>
    </row>
    <row r="1020" customFormat="false" ht="12.8" hidden="false" customHeight="false" outlineLevel="0" collapsed="false">
      <c r="A1020" s="44" t="n">
        <v>11</v>
      </c>
      <c r="B1020" s="44" t="s">
        <v>216</v>
      </c>
      <c r="C1020" s="44" t="s">
        <v>158</v>
      </c>
      <c r="D1020" s="45" t="str">
        <f aca="true">OFFSET(plates!$B$106,CODE(LEFT(B1020,1))-64,-1)&amp;"-"&amp;OFFSET(plates!$B$106,-1,MID(B1020,2,3)+0)</f>
        <v>bc061-bc497</v>
      </c>
      <c r="E1020" s="46" t="str">
        <f aca="true">OFFSET(plates!$B$106,CODE(LEFT(B1020,1))-64,MID(B1020,2,3)+0)&amp;""</f>
        <v/>
      </c>
      <c r="F1020" s="46"/>
      <c r="G1020" s="47"/>
      <c r="H1020" s="47"/>
    </row>
    <row r="1021" customFormat="false" ht="12.8" hidden="false" customHeight="false" outlineLevel="0" collapsed="false">
      <c r="A1021" s="44" t="n">
        <v>11</v>
      </c>
      <c r="B1021" s="44" t="s">
        <v>217</v>
      </c>
      <c r="C1021" s="44" t="s">
        <v>158</v>
      </c>
      <c r="D1021" s="45" t="str">
        <f aca="true">OFFSET(plates!$B$106,CODE(LEFT(B1021,1))-64,-1)&amp;"-"&amp;OFFSET(plates!$B$106,-1,MID(B1021,2,3)+0)</f>
        <v>bc062-bc497</v>
      </c>
      <c r="E1021" s="46" t="str">
        <f aca="true">OFFSET(plates!$B$106,CODE(LEFT(B1021,1))-64,MID(B1021,2,3)+0)&amp;""</f>
        <v/>
      </c>
      <c r="F1021" s="46"/>
      <c r="G1021" s="47"/>
      <c r="H1021" s="47"/>
    </row>
    <row r="1022" customFormat="false" ht="12.8" hidden="false" customHeight="false" outlineLevel="0" collapsed="false">
      <c r="A1022" s="44" t="n">
        <v>11</v>
      </c>
      <c r="B1022" s="44" t="s">
        <v>218</v>
      </c>
      <c r="C1022" s="44" t="s">
        <v>158</v>
      </c>
      <c r="D1022" s="45" t="str">
        <f aca="true">OFFSET(plates!$B$106,CODE(LEFT(B1022,1))-64,-1)&amp;"-"&amp;OFFSET(plates!$B$106,-1,MID(B1022,2,3)+0)</f>
        <v>bc095-bc497</v>
      </c>
      <c r="E1022" s="46" t="str">
        <f aca="true">OFFSET(plates!$B$106,CODE(LEFT(B1022,1))-64,MID(B1022,2,3)+0)&amp;""</f>
        <v/>
      </c>
      <c r="F1022" s="46"/>
      <c r="G1022" s="47"/>
      <c r="H1022" s="47"/>
    </row>
    <row r="1023" customFormat="false" ht="12.8" hidden="false" customHeight="false" outlineLevel="0" collapsed="false">
      <c r="A1023" s="44" t="n">
        <v>11</v>
      </c>
      <c r="B1023" s="44" t="s">
        <v>219</v>
      </c>
      <c r="C1023" s="44" t="s">
        <v>158</v>
      </c>
      <c r="D1023" s="45" t="str">
        <f aca="true">OFFSET(plates!$B$106,CODE(LEFT(B1023,1))-64,-1)&amp;"-"&amp;OFFSET(plates!$B$106,-1,MID(B1023,2,3)+0)</f>
        <v>bc139-bc497</v>
      </c>
      <c r="E1023" s="46" t="str">
        <f aca="true">OFFSET(plates!$B$106,CODE(LEFT(B1023,1))-64,MID(B1023,2,3)+0)&amp;""</f>
        <v/>
      </c>
      <c r="F1023" s="46"/>
      <c r="G1023" s="47"/>
      <c r="H1023" s="47"/>
    </row>
    <row r="1024" customFormat="false" ht="12.8" hidden="false" customHeight="false" outlineLevel="0" collapsed="false">
      <c r="A1024" s="44" t="n">
        <v>11</v>
      </c>
      <c r="B1024" s="44" t="s">
        <v>220</v>
      </c>
      <c r="C1024" s="44" t="s">
        <v>158</v>
      </c>
      <c r="D1024" s="45" t="str">
        <f aca="true">OFFSET(plates!$B$106,CODE(LEFT(B1024,1))-64,-1)&amp;"-"&amp;OFFSET(plates!$B$106,-1,MID(B1024,2,3)+0)</f>
        <v>bc148-bc497</v>
      </c>
      <c r="E1024" s="46" t="str">
        <f aca="true">OFFSET(plates!$B$106,CODE(LEFT(B1024,1))-64,MID(B1024,2,3)+0)&amp;""</f>
        <v/>
      </c>
      <c r="F1024" s="46"/>
      <c r="G1024" s="47"/>
      <c r="H1024" s="47"/>
    </row>
    <row r="1025" customFormat="false" ht="12.8" hidden="false" customHeight="false" outlineLevel="0" collapsed="false">
      <c r="A1025" s="44" t="n">
        <v>11</v>
      </c>
      <c r="B1025" s="44" t="s">
        <v>221</v>
      </c>
      <c r="C1025" s="44" t="s">
        <v>158</v>
      </c>
      <c r="D1025" s="45" t="str">
        <f aca="true">OFFSET(plates!$B$106,CODE(LEFT(B1025,1))-64,-1)&amp;"-"&amp;OFFSET(plates!$B$106,-1,MID(B1025,2,3)+0)</f>
        <v>bc157-bc497</v>
      </c>
      <c r="E1025" s="46" t="str">
        <f aca="true">OFFSET(plates!$B$106,CODE(LEFT(B1025,1))-64,MID(B1025,2,3)+0)&amp;""</f>
        <v/>
      </c>
      <c r="F1025" s="46"/>
      <c r="G1025" s="47"/>
      <c r="H1025" s="47"/>
    </row>
    <row r="1026" customFormat="false" ht="12.8" hidden="false" customHeight="false" outlineLevel="0" collapsed="false">
      <c r="A1026" s="44" t="n">
        <v>11</v>
      </c>
      <c r="B1026" s="44" t="s">
        <v>222</v>
      </c>
      <c r="C1026" s="44" t="s">
        <v>158</v>
      </c>
      <c r="D1026" s="45" t="str">
        <f aca="true">OFFSET(plates!$B$106,CODE(LEFT(B1026,1))-64,-1)&amp;"-"&amp;OFFSET(plates!$B$106,-1,MID(B1026,2,3)+0)</f>
        <v>bc018-bc500</v>
      </c>
      <c r="E1026" s="46" t="str">
        <f aca="true">OFFSET(plates!$B$106,CODE(LEFT(B1026,1))-64,MID(B1026,2,3)+0)&amp;""</f>
        <v/>
      </c>
      <c r="F1026" s="46"/>
      <c r="G1026" s="47"/>
      <c r="H1026" s="47"/>
    </row>
    <row r="1027" customFormat="false" ht="12.8" hidden="false" customHeight="false" outlineLevel="0" collapsed="false">
      <c r="A1027" s="44" t="n">
        <v>11</v>
      </c>
      <c r="B1027" s="44" t="s">
        <v>223</v>
      </c>
      <c r="C1027" s="44" t="s">
        <v>158</v>
      </c>
      <c r="D1027" s="45" t="str">
        <f aca="true">OFFSET(plates!$B$106,CODE(LEFT(B1027,1))-64,-1)&amp;"-"&amp;OFFSET(plates!$B$106,-1,MID(B1027,2,3)+0)</f>
        <v>bc060-bc500</v>
      </c>
      <c r="E1027" s="46" t="str">
        <f aca="true">OFFSET(plates!$B$106,CODE(LEFT(B1027,1))-64,MID(B1027,2,3)+0)&amp;""</f>
        <v/>
      </c>
      <c r="F1027" s="46"/>
      <c r="G1027" s="47"/>
      <c r="H1027" s="47"/>
    </row>
    <row r="1028" customFormat="false" ht="12.8" hidden="false" customHeight="false" outlineLevel="0" collapsed="false">
      <c r="A1028" s="44" t="n">
        <v>11</v>
      </c>
      <c r="B1028" s="44" t="s">
        <v>224</v>
      </c>
      <c r="C1028" s="44" t="s">
        <v>158</v>
      </c>
      <c r="D1028" s="45" t="str">
        <f aca="true">OFFSET(plates!$B$106,CODE(LEFT(B1028,1))-64,-1)&amp;"-"&amp;OFFSET(plates!$B$106,-1,MID(B1028,2,3)+0)</f>
        <v>bc061-bc500</v>
      </c>
      <c r="E1028" s="46" t="str">
        <f aca="true">OFFSET(plates!$B$106,CODE(LEFT(B1028,1))-64,MID(B1028,2,3)+0)&amp;""</f>
        <v/>
      </c>
      <c r="F1028" s="46"/>
      <c r="G1028" s="47"/>
      <c r="H1028" s="47"/>
    </row>
    <row r="1029" customFormat="false" ht="12.8" hidden="false" customHeight="false" outlineLevel="0" collapsed="false">
      <c r="A1029" s="44" t="n">
        <v>11</v>
      </c>
      <c r="B1029" s="44" t="s">
        <v>225</v>
      </c>
      <c r="C1029" s="44" t="s">
        <v>158</v>
      </c>
      <c r="D1029" s="45" t="str">
        <f aca="true">OFFSET(plates!$B$106,CODE(LEFT(B1029,1))-64,-1)&amp;"-"&amp;OFFSET(plates!$B$106,-1,MID(B1029,2,3)+0)</f>
        <v>bc062-bc500</v>
      </c>
      <c r="E1029" s="46" t="str">
        <f aca="true">OFFSET(plates!$B$106,CODE(LEFT(B1029,1))-64,MID(B1029,2,3)+0)&amp;""</f>
        <v/>
      </c>
      <c r="F1029" s="46"/>
      <c r="G1029" s="47"/>
      <c r="H1029" s="47"/>
    </row>
    <row r="1030" customFormat="false" ht="12.8" hidden="false" customHeight="false" outlineLevel="0" collapsed="false">
      <c r="A1030" s="44" t="n">
        <v>11</v>
      </c>
      <c r="B1030" s="44" t="s">
        <v>226</v>
      </c>
      <c r="C1030" s="44" t="s">
        <v>158</v>
      </c>
      <c r="D1030" s="45" t="str">
        <f aca="true">OFFSET(plates!$B$106,CODE(LEFT(B1030,1))-64,-1)&amp;"-"&amp;OFFSET(plates!$B$106,-1,MID(B1030,2,3)+0)</f>
        <v>bc095-bc500</v>
      </c>
      <c r="E1030" s="46" t="str">
        <f aca="true">OFFSET(plates!$B$106,CODE(LEFT(B1030,1))-64,MID(B1030,2,3)+0)&amp;""</f>
        <v/>
      </c>
      <c r="F1030" s="46"/>
      <c r="G1030" s="47"/>
      <c r="H1030" s="47"/>
    </row>
    <row r="1031" customFormat="false" ht="12.8" hidden="false" customHeight="false" outlineLevel="0" collapsed="false">
      <c r="A1031" s="44" t="n">
        <v>11</v>
      </c>
      <c r="B1031" s="44" t="s">
        <v>227</v>
      </c>
      <c r="C1031" s="44" t="s">
        <v>158</v>
      </c>
      <c r="D1031" s="45" t="str">
        <f aca="true">OFFSET(plates!$B$106,CODE(LEFT(B1031,1))-64,-1)&amp;"-"&amp;OFFSET(plates!$B$106,-1,MID(B1031,2,3)+0)</f>
        <v>bc139-bc500</v>
      </c>
      <c r="E1031" s="46" t="str">
        <f aca="true">OFFSET(plates!$B$106,CODE(LEFT(B1031,1))-64,MID(B1031,2,3)+0)&amp;""</f>
        <v/>
      </c>
      <c r="F1031" s="46"/>
      <c r="G1031" s="47"/>
      <c r="H1031" s="47"/>
    </row>
    <row r="1032" customFormat="false" ht="12.8" hidden="false" customHeight="false" outlineLevel="0" collapsed="false">
      <c r="A1032" s="44" t="n">
        <v>11</v>
      </c>
      <c r="B1032" s="44" t="s">
        <v>228</v>
      </c>
      <c r="C1032" s="44" t="s">
        <v>158</v>
      </c>
      <c r="D1032" s="45" t="str">
        <f aca="true">OFFSET(plates!$B$106,CODE(LEFT(B1032,1))-64,-1)&amp;"-"&amp;OFFSET(plates!$B$106,-1,MID(B1032,2,3)+0)</f>
        <v>bc148-bc500</v>
      </c>
      <c r="E1032" s="46" t="str">
        <f aca="true">OFFSET(plates!$B$106,CODE(LEFT(B1032,1))-64,MID(B1032,2,3)+0)&amp;""</f>
        <v/>
      </c>
      <c r="F1032" s="46"/>
      <c r="G1032" s="47"/>
      <c r="H1032" s="47"/>
    </row>
    <row r="1033" customFormat="false" ht="12.8" hidden="false" customHeight="false" outlineLevel="0" collapsed="false">
      <c r="A1033" s="44" t="n">
        <v>11</v>
      </c>
      <c r="B1033" s="44" t="s">
        <v>229</v>
      </c>
      <c r="C1033" s="44" t="s">
        <v>158</v>
      </c>
      <c r="D1033" s="45" t="str">
        <f aca="true">OFFSET(plates!$B$106,CODE(LEFT(B1033,1))-64,-1)&amp;"-"&amp;OFFSET(plates!$B$106,-1,MID(B1033,2,3)+0)</f>
        <v>bc157-bc500</v>
      </c>
      <c r="E1033" s="46" t="str">
        <f aca="true">OFFSET(plates!$B$106,CODE(LEFT(B1033,1))-64,MID(B1033,2,3)+0)&amp;""</f>
        <v/>
      </c>
      <c r="F1033" s="46"/>
      <c r="G1033" s="47"/>
      <c r="H1033" s="47"/>
    </row>
    <row r="1034" customFormat="false" ht="12.8" hidden="false" customHeight="false" outlineLevel="0" collapsed="false">
      <c r="A1034" s="44" t="n">
        <v>11</v>
      </c>
      <c r="B1034" s="44" t="s">
        <v>230</v>
      </c>
      <c r="C1034" s="44" t="s">
        <v>158</v>
      </c>
      <c r="D1034" s="45" t="str">
        <f aca="true">OFFSET(plates!$B$106,CODE(LEFT(B1034,1))-64,-1)&amp;"-"&amp;OFFSET(plates!$B$106,-1,MID(B1034,2,3)+0)</f>
        <v>bc018-bc508</v>
      </c>
      <c r="E1034" s="46" t="str">
        <f aca="true">OFFSET(plates!$B$106,CODE(LEFT(B1034,1))-64,MID(B1034,2,3)+0)&amp;""</f>
        <v/>
      </c>
      <c r="F1034" s="46"/>
      <c r="G1034" s="47"/>
      <c r="H1034" s="47"/>
    </row>
    <row r="1035" customFormat="false" ht="12.8" hidden="false" customHeight="false" outlineLevel="0" collapsed="false">
      <c r="A1035" s="44" t="n">
        <v>11</v>
      </c>
      <c r="B1035" s="44" t="s">
        <v>231</v>
      </c>
      <c r="C1035" s="44" t="s">
        <v>158</v>
      </c>
      <c r="D1035" s="45" t="str">
        <f aca="true">OFFSET(plates!$B$106,CODE(LEFT(B1035,1))-64,-1)&amp;"-"&amp;OFFSET(plates!$B$106,-1,MID(B1035,2,3)+0)</f>
        <v>bc060-bc508</v>
      </c>
      <c r="E1035" s="46" t="str">
        <f aca="true">OFFSET(plates!$B$106,CODE(LEFT(B1035,1))-64,MID(B1035,2,3)+0)&amp;""</f>
        <v/>
      </c>
      <c r="F1035" s="46"/>
      <c r="G1035" s="47"/>
      <c r="H1035" s="47"/>
    </row>
    <row r="1036" customFormat="false" ht="12.8" hidden="false" customHeight="false" outlineLevel="0" collapsed="false">
      <c r="A1036" s="44" t="n">
        <v>11</v>
      </c>
      <c r="B1036" s="44" t="s">
        <v>232</v>
      </c>
      <c r="C1036" s="44" t="s">
        <v>158</v>
      </c>
      <c r="D1036" s="45" t="str">
        <f aca="true">OFFSET(plates!$B$106,CODE(LEFT(B1036,1))-64,-1)&amp;"-"&amp;OFFSET(plates!$B$106,-1,MID(B1036,2,3)+0)</f>
        <v>bc061-bc508</v>
      </c>
      <c r="E1036" s="46" t="str">
        <f aca="true">OFFSET(plates!$B$106,CODE(LEFT(B1036,1))-64,MID(B1036,2,3)+0)&amp;""</f>
        <v/>
      </c>
      <c r="F1036" s="46"/>
      <c r="G1036" s="47"/>
      <c r="H1036" s="47"/>
    </row>
    <row r="1037" s="48" customFormat="true" ht="12.8" hidden="false" customHeight="false" outlineLevel="0" collapsed="false">
      <c r="A1037" s="44" t="n">
        <v>11</v>
      </c>
      <c r="B1037" s="44" t="s">
        <v>233</v>
      </c>
      <c r="C1037" s="44" t="s">
        <v>158</v>
      </c>
      <c r="D1037" s="45" t="str">
        <f aca="true">OFFSET(plates!$B$106,CODE(LEFT(B1037,1))-64,-1)&amp;"-"&amp;OFFSET(plates!$B$106,-1,MID(B1037,2,3)+0)</f>
        <v>bc062-bc508</v>
      </c>
      <c r="E1037" s="46" t="str">
        <f aca="true">OFFSET(plates!$B$106,CODE(LEFT(B1037,1))-64,MID(B1037,2,3)+0)&amp;""</f>
        <v/>
      </c>
      <c r="F1037" s="46"/>
      <c r="G1037" s="47"/>
      <c r="H1037" s="47"/>
      <c r="I1037" s="36"/>
      <c r="J1037" s="36"/>
      <c r="K1037" s="36"/>
      <c r="L1037" s="36"/>
      <c r="M1037" s="36"/>
    </row>
    <row r="1038" s="48" customFormat="true" ht="12.8" hidden="false" customHeight="false" outlineLevel="0" collapsed="false">
      <c r="A1038" s="44" t="n">
        <v>11</v>
      </c>
      <c r="B1038" s="44" t="s">
        <v>234</v>
      </c>
      <c r="C1038" s="44" t="s">
        <v>158</v>
      </c>
      <c r="D1038" s="45" t="str">
        <f aca="true">OFFSET(plates!$B$106,CODE(LEFT(B1038,1))-64,-1)&amp;"-"&amp;OFFSET(plates!$B$106,-1,MID(B1038,2,3)+0)</f>
        <v>bc095-bc508</v>
      </c>
      <c r="E1038" s="46" t="str">
        <f aca="true">OFFSET(plates!$B$106,CODE(LEFT(B1038,1))-64,MID(B1038,2,3)+0)&amp;""</f>
        <v/>
      </c>
      <c r="F1038" s="46"/>
      <c r="G1038" s="47"/>
      <c r="H1038" s="47"/>
      <c r="I1038" s="36"/>
      <c r="J1038" s="36"/>
      <c r="K1038" s="36"/>
      <c r="L1038" s="36"/>
      <c r="M1038" s="36"/>
    </row>
    <row r="1039" customFormat="false" ht="12.8" hidden="false" customHeight="false" outlineLevel="0" collapsed="false">
      <c r="A1039" s="44" t="n">
        <v>11</v>
      </c>
      <c r="B1039" s="44" t="s">
        <v>235</v>
      </c>
      <c r="C1039" s="44" t="s">
        <v>158</v>
      </c>
      <c r="D1039" s="45" t="str">
        <f aca="true">OFFSET(plates!$B$106,CODE(LEFT(B1039,1))-64,-1)&amp;"-"&amp;OFFSET(plates!$B$106,-1,MID(B1039,2,3)+0)</f>
        <v>bc139-bc508</v>
      </c>
      <c r="E1039" s="46" t="str">
        <f aca="true">OFFSET(plates!$B$106,CODE(LEFT(B1039,1))-64,MID(B1039,2,3)+0)&amp;""</f>
        <v/>
      </c>
      <c r="F1039" s="46"/>
      <c r="G1039" s="47"/>
      <c r="H1039" s="47"/>
    </row>
    <row r="1040" customFormat="false" ht="12.8" hidden="false" customHeight="false" outlineLevel="0" collapsed="false">
      <c r="A1040" s="44" t="n">
        <v>11</v>
      </c>
      <c r="B1040" s="44" t="s">
        <v>236</v>
      </c>
      <c r="C1040" s="44" t="s">
        <v>158</v>
      </c>
      <c r="D1040" s="45" t="str">
        <f aca="true">OFFSET(plates!$B$106,CODE(LEFT(B1040,1))-64,-1)&amp;"-"&amp;OFFSET(plates!$B$106,-1,MID(B1040,2,3)+0)</f>
        <v>bc148-bc508</v>
      </c>
      <c r="E1040" s="46" t="str">
        <f aca="true">OFFSET(plates!$B$106,CODE(LEFT(B1040,1))-64,MID(B1040,2,3)+0)&amp;""</f>
        <v/>
      </c>
      <c r="F1040" s="46"/>
      <c r="G1040" s="47"/>
      <c r="H1040" s="47"/>
    </row>
    <row r="1041" customFormat="false" ht="12.8" hidden="false" customHeight="false" outlineLevel="0" collapsed="false">
      <c r="A1041" s="44" t="n">
        <v>11</v>
      </c>
      <c r="B1041" s="44" t="s">
        <v>237</v>
      </c>
      <c r="C1041" s="44" t="s">
        <v>158</v>
      </c>
      <c r="D1041" s="45" t="str">
        <f aca="true">OFFSET(plates!$B$106,CODE(LEFT(B1041,1))-64,-1)&amp;"-"&amp;OFFSET(plates!$B$106,-1,MID(B1041,2,3)+0)</f>
        <v>bc157-bc508</v>
      </c>
      <c r="E1041" s="46" t="str">
        <f aca="true">OFFSET(plates!$B$106,CODE(LEFT(B1041,1))-64,MID(B1041,2,3)+0)&amp;""</f>
        <v/>
      </c>
      <c r="F1041" s="46"/>
      <c r="G1041" s="47"/>
      <c r="H1041" s="47"/>
    </row>
    <row r="1042" customFormat="false" ht="12.8" hidden="false" customHeight="false" outlineLevel="0" collapsed="false">
      <c r="A1042" s="44" t="n">
        <v>11</v>
      </c>
      <c r="B1042" s="44" t="s">
        <v>238</v>
      </c>
      <c r="C1042" s="44" t="s">
        <v>158</v>
      </c>
      <c r="D1042" s="45" t="str">
        <f aca="true">OFFSET(plates!$B$106,CODE(LEFT(B1042,1))-64,-1)&amp;"-"&amp;OFFSET(plates!$B$106,-1,MID(B1042,2,3)+0)</f>
        <v>bc018-bc516</v>
      </c>
      <c r="E1042" s="46" t="str">
        <f aca="true">OFFSET(plates!$B$106,CODE(LEFT(B1042,1))-64,MID(B1042,2,3)+0)&amp;""</f>
        <v/>
      </c>
      <c r="F1042" s="46"/>
      <c r="G1042" s="47"/>
      <c r="H1042" s="47"/>
    </row>
    <row r="1043" customFormat="false" ht="12.8" hidden="false" customHeight="false" outlineLevel="0" collapsed="false">
      <c r="A1043" s="44" t="n">
        <v>11</v>
      </c>
      <c r="B1043" s="44" t="s">
        <v>239</v>
      </c>
      <c r="C1043" s="44" t="s">
        <v>158</v>
      </c>
      <c r="D1043" s="45" t="str">
        <f aca="true">OFFSET(plates!$B$106,CODE(LEFT(B1043,1))-64,-1)&amp;"-"&amp;OFFSET(plates!$B$106,-1,MID(B1043,2,3)+0)</f>
        <v>bc060-bc516</v>
      </c>
      <c r="E1043" s="46" t="str">
        <f aca="true">OFFSET(plates!$B$106,CODE(LEFT(B1043,1))-64,MID(B1043,2,3)+0)&amp;""</f>
        <v/>
      </c>
      <c r="F1043" s="46"/>
      <c r="G1043" s="47"/>
      <c r="H1043" s="47"/>
    </row>
    <row r="1044" customFormat="false" ht="12.8" hidden="false" customHeight="false" outlineLevel="0" collapsed="false">
      <c r="A1044" s="44" t="n">
        <v>11</v>
      </c>
      <c r="B1044" s="44" t="s">
        <v>240</v>
      </c>
      <c r="C1044" s="44" t="s">
        <v>158</v>
      </c>
      <c r="D1044" s="45" t="str">
        <f aca="true">OFFSET(plates!$B$106,CODE(LEFT(B1044,1))-64,-1)&amp;"-"&amp;OFFSET(plates!$B$106,-1,MID(B1044,2,3)+0)</f>
        <v>bc061-bc516</v>
      </c>
      <c r="E1044" s="46" t="str">
        <f aca="true">OFFSET(plates!$B$106,CODE(LEFT(B1044,1))-64,MID(B1044,2,3)+0)&amp;""</f>
        <v/>
      </c>
      <c r="F1044" s="46"/>
      <c r="G1044" s="47"/>
      <c r="H1044" s="47"/>
    </row>
    <row r="1045" customFormat="false" ht="12.8" hidden="false" customHeight="false" outlineLevel="0" collapsed="false">
      <c r="A1045" s="44" t="n">
        <v>11</v>
      </c>
      <c r="B1045" s="44" t="s">
        <v>241</v>
      </c>
      <c r="C1045" s="44" t="s">
        <v>158</v>
      </c>
      <c r="D1045" s="45" t="str">
        <f aca="true">OFFSET(plates!$B$106,CODE(LEFT(B1045,1))-64,-1)&amp;"-"&amp;OFFSET(plates!$B$106,-1,MID(B1045,2,3)+0)</f>
        <v>bc062-bc516</v>
      </c>
      <c r="E1045" s="46" t="str">
        <f aca="true">OFFSET(plates!$B$106,CODE(LEFT(B1045,1))-64,MID(B1045,2,3)+0)&amp;""</f>
        <v/>
      </c>
      <c r="F1045" s="46"/>
      <c r="G1045" s="47"/>
      <c r="H1045" s="47"/>
    </row>
    <row r="1046" customFormat="false" ht="12.8" hidden="false" customHeight="false" outlineLevel="0" collapsed="false">
      <c r="A1046" s="44" t="n">
        <v>11</v>
      </c>
      <c r="B1046" s="44" t="s">
        <v>242</v>
      </c>
      <c r="C1046" s="44" t="s">
        <v>158</v>
      </c>
      <c r="D1046" s="45" t="str">
        <f aca="true">OFFSET(plates!$B$106,CODE(LEFT(B1046,1))-64,-1)&amp;"-"&amp;OFFSET(plates!$B$106,-1,MID(B1046,2,3)+0)</f>
        <v>bc095-bc516</v>
      </c>
      <c r="E1046" s="46" t="str">
        <f aca="true">OFFSET(plates!$B$106,CODE(LEFT(B1046,1))-64,MID(B1046,2,3)+0)&amp;""</f>
        <v/>
      </c>
      <c r="F1046" s="46"/>
      <c r="G1046" s="47"/>
      <c r="H1046" s="47"/>
    </row>
    <row r="1047" customFormat="false" ht="12.8" hidden="false" customHeight="false" outlineLevel="0" collapsed="false">
      <c r="A1047" s="44" t="n">
        <v>11</v>
      </c>
      <c r="B1047" s="44" t="s">
        <v>243</v>
      </c>
      <c r="C1047" s="44" t="s">
        <v>158</v>
      </c>
      <c r="D1047" s="45" t="str">
        <f aca="true">OFFSET(plates!$B$106,CODE(LEFT(B1047,1))-64,-1)&amp;"-"&amp;OFFSET(plates!$B$106,-1,MID(B1047,2,3)+0)</f>
        <v>bc139-bc516</v>
      </c>
      <c r="E1047" s="46" t="str">
        <f aca="true">OFFSET(plates!$B$106,CODE(LEFT(B1047,1))-64,MID(B1047,2,3)+0)&amp;""</f>
        <v/>
      </c>
      <c r="F1047" s="46"/>
      <c r="G1047" s="47"/>
      <c r="H1047" s="47"/>
    </row>
    <row r="1048" customFormat="false" ht="12.8" hidden="false" customHeight="false" outlineLevel="0" collapsed="false">
      <c r="A1048" s="44" t="n">
        <v>11</v>
      </c>
      <c r="B1048" s="44" t="s">
        <v>244</v>
      </c>
      <c r="C1048" s="44" t="s">
        <v>158</v>
      </c>
      <c r="D1048" s="45" t="str">
        <f aca="true">OFFSET(plates!$B$106,CODE(LEFT(B1048,1))-64,-1)&amp;"-"&amp;OFFSET(plates!$B$106,-1,MID(B1048,2,3)+0)</f>
        <v>bc148-bc516</v>
      </c>
      <c r="E1048" s="46" t="str">
        <f aca="true">OFFSET(plates!$B$106,CODE(LEFT(B1048,1))-64,MID(B1048,2,3)+0)&amp;""</f>
        <v/>
      </c>
      <c r="F1048" s="46"/>
      <c r="G1048" s="47"/>
      <c r="H1048" s="47"/>
    </row>
    <row r="1049" customFormat="false" ht="12.8" hidden="false" customHeight="false" outlineLevel="0" collapsed="false">
      <c r="A1049" s="44" t="n">
        <v>11</v>
      </c>
      <c r="B1049" s="44" t="s">
        <v>245</v>
      </c>
      <c r="C1049" s="44" t="s">
        <v>158</v>
      </c>
      <c r="D1049" s="45" t="str">
        <f aca="true">OFFSET(plates!$B$106,CODE(LEFT(B1049,1))-64,-1)&amp;"-"&amp;OFFSET(plates!$B$106,-1,MID(B1049,2,3)+0)</f>
        <v>bc157-bc516</v>
      </c>
      <c r="E1049" s="46" t="str">
        <f aca="true">OFFSET(plates!$B$106,CODE(LEFT(B1049,1))-64,MID(B1049,2,3)+0)&amp;""</f>
        <v/>
      </c>
      <c r="F1049" s="46"/>
      <c r="G1049" s="47"/>
      <c r="H1049" s="47"/>
    </row>
    <row r="1050" customFormat="false" ht="12.8" hidden="false" customHeight="false" outlineLevel="0" collapsed="false">
      <c r="A1050" s="44" t="n">
        <v>11</v>
      </c>
      <c r="B1050" s="44" t="s">
        <v>246</v>
      </c>
      <c r="C1050" s="44" t="s">
        <v>158</v>
      </c>
      <c r="D1050" s="45" t="str">
        <f aca="true">OFFSET(plates!$B$106,CODE(LEFT(B1050,1))-64,-1)&amp;"-"&amp;OFFSET(plates!$B$106,-1,MID(B1050,2,3)+0)</f>
        <v>bc018-bc538</v>
      </c>
      <c r="E1050" s="46" t="str">
        <f aca="true">OFFSET(plates!$B$106,CODE(LEFT(B1050,1))-64,MID(B1050,2,3)+0)&amp;""</f>
        <v/>
      </c>
      <c r="F1050" s="46"/>
      <c r="G1050" s="47"/>
      <c r="H1050" s="47"/>
    </row>
    <row r="1051" customFormat="false" ht="12.8" hidden="false" customHeight="false" outlineLevel="0" collapsed="false">
      <c r="A1051" s="44" t="n">
        <v>11</v>
      </c>
      <c r="B1051" s="44" t="s">
        <v>247</v>
      </c>
      <c r="C1051" s="44" t="s">
        <v>158</v>
      </c>
      <c r="D1051" s="45" t="str">
        <f aca="true">OFFSET(plates!$B$106,CODE(LEFT(B1051,1))-64,-1)&amp;"-"&amp;OFFSET(plates!$B$106,-1,MID(B1051,2,3)+0)</f>
        <v>bc060-bc538</v>
      </c>
      <c r="E1051" s="46" t="str">
        <f aca="true">OFFSET(plates!$B$106,CODE(LEFT(B1051,1))-64,MID(B1051,2,3)+0)&amp;""</f>
        <v/>
      </c>
      <c r="F1051" s="46"/>
      <c r="G1051" s="47"/>
      <c r="H1051" s="47"/>
    </row>
    <row r="1052" customFormat="false" ht="12.8" hidden="false" customHeight="false" outlineLevel="0" collapsed="false">
      <c r="A1052" s="44" t="n">
        <v>11</v>
      </c>
      <c r="B1052" s="44" t="s">
        <v>248</v>
      </c>
      <c r="C1052" s="44" t="s">
        <v>158</v>
      </c>
      <c r="D1052" s="45" t="str">
        <f aca="true">OFFSET(plates!$B$106,CODE(LEFT(B1052,1))-64,-1)&amp;"-"&amp;OFFSET(plates!$B$106,-1,MID(B1052,2,3)+0)</f>
        <v>bc061-bc538</v>
      </c>
      <c r="E1052" s="46" t="str">
        <f aca="true">OFFSET(plates!$B$106,CODE(LEFT(B1052,1))-64,MID(B1052,2,3)+0)&amp;""</f>
        <v/>
      </c>
      <c r="F1052" s="46"/>
      <c r="G1052" s="47"/>
      <c r="H1052" s="47"/>
    </row>
    <row r="1053" customFormat="false" ht="12.8" hidden="false" customHeight="false" outlineLevel="0" collapsed="false">
      <c r="A1053" s="44" t="n">
        <v>11</v>
      </c>
      <c r="B1053" s="44" t="s">
        <v>249</v>
      </c>
      <c r="C1053" s="44" t="s">
        <v>158</v>
      </c>
      <c r="D1053" s="45" t="str">
        <f aca="true">OFFSET(plates!$B$106,CODE(LEFT(B1053,1))-64,-1)&amp;"-"&amp;OFFSET(plates!$B$106,-1,MID(B1053,2,3)+0)</f>
        <v>bc062-bc538</v>
      </c>
      <c r="E1053" s="46" t="str">
        <f aca="true">OFFSET(plates!$B$106,CODE(LEFT(B1053,1))-64,MID(B1053,2,3)+0)&amp;""</f>
        <v/>
      </c>
      <c r="F1053" s="46"/>
      <c r="G1053" s="47"/>
      <c r="H1053" s="47"/>
    </row>
    <row r="1054" customFormat="false" ht="12.8" hidden="false" customHeight="false" outlineLevel="0" collapsed="false">
      <c r="A1054" s="44" t="n">
        <v>11</v>
      </c>
      <c r="B1054" s="44" t="s">
        <v>250</v>
      </c>
      <c r="C1054" s="44" t="s">
        <v>158</v>
      </c>
      <c r="D1054" s="45" t="str">
        <f aca="true">OFFSET(plates!$B$106,CODE(LEFT(B1054,1))-64,-1)&amp;"-"&amp;OFFSET(plates!$B$106,-1,MID(B1054,2,3)+0)</f>
        <v>bc095-bc538</v>
      </c>
      <c r="E1054" s="46" t="str">
        <f aca="true">OFFSET(plates!$B$106,CODE(LEFT(B1054,1))-64,MID(B1054,2,3)+0)&amp;""</f>
        <v/>
      </c>
      <c r="F1054" s="46"/>
      <c r="G1054" s="47"/>
      <c r="H1054" s="47"/>
    </row>
    <row r="1055" customFormat="false" ht="12.8" hidden="false" customHeight="false" outlineLevel="0" collapsed="false">
      <c r="A1055" s="44" t="n">
        <v>11</v>
      </c>
      <c r="B1055" s="44" t="s">
        <v>251</v>
      </c>
      <c r="C1055" s="44" t="s">
        <v>158</v>
      </c>
      <c r="D1055" s="45" t="str">
        <f aca="true">OFFSET(plates!$B$106,CODE(LEFT(B1055,1))-64,-1)&amp;"-"&amp;OFFSET(plates!$B$106,-1,MID(B1055,2,3)+0)</f>
        <v>bc139-bc538</v>
      </c>
      <c r="E1055" s="46" t="str">
        <f aca="true">OFFSET(plates!$B$106,CODE(LEFT(B1055,1))-64,MID(B1055,2,3)+0)&amp;""</f>
        <v/>
      </c>
      <c r="F1055" s="46"/>
      <c r="G1055" s="47"/>
      <c r="H1055" s="47"/>
      <c r="I1055" s="36"/>
      <c r="J1055" s="36"/>
      <c r="K1055" s="36"/>
      <c r="L1055" s="36"/>
      <c r="M1055" s="36"/>
    </row>
    <row r="1056" customFormat="false" ht="12.8" hidden="false" customHeight="false" outlineLevel="0" collapsed="false">
      <c r="A1056" s="44" t="n">
        <v>11</v>
      </c>
      <c r="B1056" s="44" t="s">
        <v>252</v>
      </c>
      <c r="C1056" s="44" t="s">
        <v>158</v>
      </c>
      <c r="D1056" s="45" t="str">
        <f aca="true">OFFSET(plates!$B$106,CODE(LEFT(B1056,1))-64,-1)&amp;"-"&amp;OFFSET(plates!$B$106,-1,MID(B1056,2,3)+0)</f>
        <v>bc148-bc538</v>
      </c>
      <c r="E1056" s="46" t="str">
        <f aca="true">OFFSET(plates!$B$106,CODE(LEFT(B1056,1))-64,MID(B1056,2,3)+0)&amp;""</f>
        <v/>
      </c>
      <c r="F1056" s="46"/>
      <c r="G1056" s="47"/>
      <c r="H1056" s="47"/>
      <c r="I1056" s="36"/>
      <c r="J1056" s="36"/>
      <c r="K1056" s="36"/>
      <c r="L1056" s="36"/>
      <c r="M1056" s="36"/>
    </row>
    <row r="1057" customFormat="false" ht="12.8" hidden="false" customHeight="false" outlineLevel="0" collapsed="false">
      <c r="A1057" s="44" t="n">
        <v>11</v>
      </c>
      <c r="B1057" s="44" t="s">
        <v>253</v>
      </c>
      <c r="C1057" s="44" t="s">
        <v>158</v>
      </c>
      <c r="D1057" s="45" t="str">
        <f aca="true">OFFSET(plates!$B$106,CODE(LEFT(B1057,1))-64,-1)&amp;"-"&amp;OFFSET(plates!$B$106,-1,MID(B1057,2,3)+0)</f>
        <v>bc157-bc538</v>
      </c>
      <c r="E1057" s="46" t="str">
        <f aca="true">OFFSET(plates!$B$106,CODE(LEFT(B1057,1))-64,MID(B1057,2,3)+0)&amp;""</f>
        <v/>
      </c>
      <c r="F1057" s="46"/>
      <c r="G1057" s="47"/>
      <c r="H1057" s="47"/>
      <c r="I1057" s="36"/>
      <c r="J1057" s="36"/>
      <c r="K1057" s="36"/>
    </row>
    <row r="1058" customFormat="false" ht="12.8" hidden="false" customHeight="false" outlineLevel="0" collapsed="false">
      <c r="A1058" s="44" t="n">
        <v>12</v>
      </c>
      <c r="B1058" s="44" t="s">
        <v>157</v>
      </c>
      <c r="C1058" s="44" t="s">
        <v>158</v>
      </c>
      <c r="D1058" s="45" t="str">
        <f aca="true">OFFSET(plates!$B$116,CODE(LEFT(B1058,1))-64,-1)&amp;"-"&amp;OFFSET(plates!$B$106,-1,MID(B1058,2,3)+0)</f>
        <v>bc168-bc411</v>
      </c>
      <c r="E1058" s="46" t="str">
        <f aca="true">OFFSET(plates!$B$116,CODE(LEFT(B1058,1))-64,MID(B1058,2,3)+0)&amp;""</f>
        <v/>
      </c>
      <c r="F1058" s="46"/>
      <c r="G1058" s="47"/>
      <c r="H1058" s="47"/>
      <c r="I1058" s="36"/>
      <c r="J1058" s="36"/>
      <c r="K1058" s="36"/>
    </row>
    <row r="1059" customFormat="false" ht="12.8" hidden="false" customHeight="false" outlineLevel="0" collapsed="false">
      <c r="A1059" s="44" t="n">
        <v>12</v>
      </c>
      <c r="B1059" s="44" t="s">
        <v>159</v>
      </c>
      <c r="C1059" s="44" t="s">
        <v>158</v>
      </c>
      <c r="D1059" s="45" t="str">
        <f aca="true">OFFSET(plates!$B$116,CODE(LEFT(B1059,1))-64,-1)&amp;"-"&amp;OFFSET(plates!$B$106,-1,MID(B1059,2,3)+0)</f>
        <v>bc183-bc411</v>
      </c>
      <c r="E1059" s="46" t="str">
        <f aca="true">OFFSET(plates!$B$116,CODE(LEFT(B1059,1))-64,MID(B1059,2,3)+0)&amp;""</f>
        <v/>
      </c>
      <c r="F1059" s="46"/>
      <c r="G1059" s="47"/>
      <c r="H1059" s="47"/>
    </row>
    <row r="1060" customFormat="false" ht="12.8" hidden="false" customHeight="false" outlineLevel="0" collapsed="false">
      <c r="A1060" s="44" t="n">
        <v>12</v>
      </c>
      <c r="B1060" s="44" t="s">
        <v>160</v>
      </c>
      <c r="C1060" s="44" t="s">
        <v>158</v>
      </c>
      <c r="D1060" s="45" t="str">
        <f aca="true">OFFSET(plates!$B$116,CODE(LEFT(B1060,1))-64,-1)&amp;"-"&amp;OFFSET(plates!$B$106,-1,MID(B1060,2,3)+0)</f>
        <v>bc192-bc411</v>
      </c>
      <c r="E1060" s="46" t="str">
        <f aca="true">OFFSET(plates!$B$116,CODE(LEFT(B1060,1))-64,MID(B1060,2,3)+0)&amp;""</f>
        <v/>
      </c>
      <c r="F1060" s="46"/>
      <c r="G1060" s="47"/>
      <c r="H1060" s="47"/>
    </row>
    <row r="1061" customFormat="false" ht="12.8" hidden="false" customHeight="false" outlineLevel="0" collapsed="false">
      <c r="A1061" s="44" t="n">
        <v>12</v>
      </c>
      <c r="B1061" s="44" t="s">
        <v>161</v>
      </c>
      <c r="C1061" s="44" t="s">
        <v>158</v>
      </c>
      <c r="D1061" s="45" t="str">
        <f aca="true">OFFSET(plates!$B$116,CODE(LEFT(B1061,1))-64,-1)&amp;"-"&amp;OFFSET(plates!$B$106,-1,MID(B1061,2,3)+0)</f>
        <v>bc205-bc411</v>
      </c>
      <c r="E1061" s="46" t="str">
        <f aca="true">OFFSET(plates!$B$116,CODE(LEFT(B1061,1))-64,MID(B1061,2,3)+0)&amp;""</f>
        <v/>
      </c>
      <c r="F1061" s="46"/>
      <c r="G1061" s="47"/>
      <c r="H1061" s="47"/>
    </row>
    <row r="1062" customFormat="false" ht="12.8" hidden="false" customHeight="false" outlineLevel="0" collapsed="false">
      <c r="A1062" s="44" t="n">
        <v>12</v>
      </c>
      <c r="B1062" s="44" t="s">
        <v>162</v>
      </c>
      <c r="C1062" s="44" t="s">
        <v>158</v>
      </c>
      <c r="D1062" s="45" t="str">
        <f aca="true">OFFSET(plates!$B$116,CODE(LEFT(B1062,1))-64,-1)&amp;"-"&amp;OFFSET(plates!$B$106,-1,MID(B1062,2,3)+0)</f>
        <v>bc219-bc411</v>
      </c>
      <c r="E1062" s="46" t="str">
        <f aca="true">OFFSET(plates!$B$116,CODE(LEFT(B1062,1))-64,MID(B1062,2,3)+0)&amp;""</f>
        <v/>
      </c>
      <c r="F1062" s="46"/>
      <c r="G1062" s="47"/>
      <c r="H1062" s="47"/>
    </row>
    <row r="1063" customFormat="false" ht="12.8" hidden="false" customHeight="false" outlineLevel="0" collapsed="false">
      <c r="A1063" s="44" t="n">
        <v>12</v>
      </c>
      <c r="B1063" s="44" t="s">
        <v>163</v>
      </c>
      <c r="C1063" s="44" t="s">
        <v>158</v>
      </c>
      <c r="D1063" s="45" t="str">
        <f aca="true">OFFSET(plates!$B$116,CODE(LEFT(B1063,1))-64,-1)&amp;"-"&amp;OFFSET(plates!$B$106,-1,MID(B1063,2,3)+0)</f>
        <v>bc220-bc411</v>
      </c>
      <c r="E1063" s="46" t="str">
        <f aca="true">OFFSET(plates!$B$116,CODE(LEFT(B1063,1))-64,MID(B1063,2,3)+0)&amp;""</f>
        <v/>
      </c>
      <c r="F1063" s="46"/>
      <c r="G1063" s="47"/>
      <c r="H1063" s="47"/>
    </row>
    <row r="1064" customFormat="false" ht="12.8" hidden="false" customHeight="false" outlineLevel="0" collapsed="false">
      <c r="A1064" s="44" t="n">
        <v>12</v>
      </c>
      <c r="B1064" s="44" t="s">
        <v>164</v>
      </c>
      <c r="C1064" s="44" t="s">
        <v>158</v>
      </c>
      <c r="D1064" s="45" t="str">
        <f aca="true">OFFSET(plates!$B$116,CODE(LEFT(B1064,1))-64,-1)&amp;"-"&amp;OFFSET(plates!$B$106,-1,MID(B1064,2,3)+0)</f>
        <v>bc258-bc411</v>
      </c>
      <c r="E1064" s="46" t="str">
        <f aca="true">OFFSET(plates!$B$116,CODE(LEFT(B1064,1))-64,MID(B1064,2,3)+0)&amp;""</f>
        <v/>
      </c>
      <c r="F1064" s="46"/>
      <c r="G1064" s="47"/>
      <c r="H1064" s="47"/>
    </row>
    <row r="1065" customFormat="false" ht="12.8" hidden="false" customHeight="false" outlineLevel="0" collapsed="false">
      <c r="A1065" s="44" t="n">
        <v>12</v>
      </c>
      <c r="B1065" s="44" t="s">
        <v>165</v>
      </c>
      <c r="C1065" s="44" t="s">
        <v>158</v>
      </c>
      <c r="D1065" s="45" t="str">
        <f aca="true">OFFSET(plates!$B$116,CODE(LEFT(B1065,1))-64,-1)&amp;"-"&amp;OFFSET(plates!$B$106,-1,MID(B1065,2,3)+0)</f>
        <v>bc264-bc411</v>
      </c>
      <c r="E1065" s="46" t="str">
        <f aca="true">OFFSET(plates!$B$116,CODE(LEFT(B1065,1))-64,MID(B1065,2,3)+0)&amp;""</f>
        <v/>
      </c>
      <c r="F1065" s="46"/>
      <c r="G1065" s="47"/>
      <c r="H1065" s="47"/>
    </row>
    <row r="1066" customFormat="false" ht="12.8" hidden="false" customHeight="false" outlineLevel="0" collapsed="false">
      <c r="A1066" s="44" t="n">
        <v>12</v>
      </c>
      <c r="B1066" s="44" t="s">
        <v>166</v>
      </c>
      <c r="C1066" s="44" t="s">
        <v>158</v>
      </c>
      <c r="D1066" s="45" t="str">
        <f aca="true">OFFSET(plates!$B$116,CODE(LEFT(B1066,1))-64,-1)&amp;"-"&amp;OFFSET(plates!$B$106,-1,MID(B1066,2,3)+0)</f>
        <v>bc168-bc413</v>
      </c>
      <c r="E1066" s="46" t="str">
        <f aca="true">OFFSET(plates!$B$116,CODE(LEFT(B1066,1))-64,MID(B1066,2,3)+0)&amp;""</f>
        <v/>
      </c>
      <c r="F1066" s="46"/>
      <c r="G1066" s="47"/>
      <c r="H1066" s="47"/>
    </row>
    <row r="1067" customFormat="false" ht="12.8" hidden="false" customHeight="false" outlineLevel="0" collapsed="false">
      <c r="A1067" s="44" t="n">
        <v>12</v>
      </c>
      <c r="B1067" s="44" t="s">
        <v>167</v>
      </c>
      <c r="C1067" s="44" t="s">
        <v>158</v>
      </c>
      <c r="D1067" s="45" t="str">
        <f aca="true">OFFSET(plates!$B$116,CODE(LEFT(B1067,1))-64,-1)&amp;"-"&amp;OFFSET(plates!$B$106,-1,MID(B1067,2,3)+0)</f>
        <v>bc183-bc413</v>
      </c>
      <c r="E1067" s="46" t="str">
        <f aca="true">OFFSET(plates!$B$116,CODE(LEFT(B1067,1))-64,MID(B1067,2,3)+0)&amp;""</f>
        <v/>
      </c>
      <c r="F1067" s="46"/>
      <c r="G1067" s="47"/>
      <c r="H1067" s="47"/>
    </row>
    <row r="1068" customFormat="false" ht="12.8" hidden="false" customHeight="false" outlineLevel="0" collapsed="false">
      <c r="A1068" s="44" t="n">
        <v>12</v>
      </c>
      <c r="B1068" s="44" t="s">
        <v>168</v>
      </c>
      <c r="C1068" s="44" t="s">
        <v>158</v>
      </c>
      <c r="D1068" s="45" t="str">
        <f aca="true">OFFSET(plates!$B$116,CODE(LEFT(B1068,1))-64,-1)&amp;"-"&amp;OFFSET(plates!$B$106,-1,MID(B1068,2,3)+0)</f>
        <v>bc192-bc413</v>
      </c>
      <c r="E1068" s="46" t="str">
        <f aca="true">OFFSET(plates!$B$116,CODE(LEFT(B1068,1))-64,MID(B1068,2,3)+0)&amp;""</f>
        <v/>
      </c>
      <c r="F1068" s="46"/>
      <c r="G1068" s="47"/>
      <c r="H1068" s="47"/>
    </row>
    <row r="1069" customFormat="false" ht="12.8" hidden="false" customHeight="false" outlineLevel="0" collapsed="false">
      <c r="A1069" s="44" t="n">
        <v>12</v>
      </c>
      <c r="B1069" s="44" t="s">
        <v>169</v>
      </c>
      <c r="C1069" s="44" t="s">
        <v>158</v>
      </c>
      <c r="D1069" s="45" t="str">
        <f aca="true">OFFSET(plates!$B$116,CODE(LEFT(B1069,1))-64,-1)&amp;"-"&amp;OFFSET(plates!$B$106,-1,MID(B1069,2,3)+0)</f>
        <v>bc205-bc413</v>
      </c>
      <c r="E1069" s="46" t="str">
        <f aca="true">OFFSET(plates!$B$116,CODE(LEFT(B1069,1))-64,MID(B1069,2,3)+0)&amp;""</f>
        <v/>
      </c>
      <c r="F1069" s="46"/>
      <c r="G1069" s="47"/>
      <c r="H1069" s="47"/>
    </row>
    <row r="1070" customFormat="false" ht="12.8" hidden="false" customHeight="false" outlineLevel="0" collapsed="false">
      <c r="A1070" s="44" t="n">
        <v>12</v>
      </c>
      <c r="B1070" s="44" t="s">
        <v>170</v>
      </c>
      <c r="C1070" s="44" t="s">
        <v>158</v>
      </c>
      <c r="D1070" s="45" t="str">
        <f aca="true">OFFSET(plates!$B$116,CODE(LEFT(B1070,1))-64,-1)&amp;"-"&amp;OFFSET(plates!$B$106,-1,MID(B1070,2,3)+0)</f>
        <v>bc219-bc413</v>
      </c>
      <c r="E1070" s="46" t="str">
        <f aca="true">OFFSET(plates!$B$116,CODE(LEFT(B1070,1))-64,MID(B1070,2,3)+0)&amp;""</f>
        <v/>
      </c>
      <c r="F1070" s="46"/>
      <c r="G1070" s="47"/>
      <c r="H1070" s="47"/>
    </row>
    <row r="1071" customFormat="false" ht="12.8" hidden="false" customHeight="false" outlineLevel="0" collapsed="false">
      <c r="A1071" s="44" t="n">
        <v>12</v>
      </c>
      <c r="B1071" s="44" t="s">
        <v>171</v>
      </c>
      <c r="C1071" s="44" t="s">
        <v>158</v>
      </c>
      <c r="D1071" s="45" t="str">
        <f aca="true">OFFSET(plates!$B$116,CODE(LEFT(B1071,1))-64,-1)&amp;"-"&amp;OFFSET(plates!$B$106,-1,MID(B1071,2,3)+0)</f>
        <v>bc220-bc413</v>
      </c>
      <c r="E1071" s="46" t="str">
        <f aca="true">OFFSET(plates!$B$116,CODE(LEFT(B1071,1))-64,MID(B1071,2,3)+0)&amp;""</f>
        <v/>
      </c>
      <c r="F1071" s="46"/>
      <c r="G1071" s="47"/>
      <c r="H1071" s="47"/>
    </row>
    <row r="1072" customFormat="false" ht="12.8" hidden="false" customHeight="false" outlineLevel="0" collapsed="false">
      <c r="A1072" s="44" t="n">
        <v>12</v>
      </c>
      <c r="B1072" s="44" t="s">
        <v>172</v>
      </c>
      <c r="C1072" s="44" t="s">
        <v>158</v>
      </c>
      <c r="D1072" s="45" t="str">
        <f aca="true">OFFSET(plates!$B$116,CODE(LEFT(B1072,1))-64,-1)&amp;"-"&amp;OFFSET(plates!$B$106,-1,MID(B1072,2,3)+0)</f>
        <v>bc258-bc413</v>
      </c>
      <c r="E1072" s="46" t="str">
        <f aca="true">OFFSET(plates!$B$116,CODE(LEFT(B1072,1))-64,MID(B1072,2,3)+0)&amp;""</f>
        <v/>
      </c>
      <c r="F1072" s="46"/>
      <c r="G1072" s="47"/>
      <c r="H1072" s="47"/>
    </row>
    <row r="1073" customFormat="false" ht="12.8" hidden="false" customHeight="false" outlineLevel="0" collapsed="false">
      <c r="A1073" s="44" t="n">
        <v>12</v>
      </c>
      <c r="B1073" s="44" t="s">
        <v>173</v>
      </c>
      <c r="C1073" s="44" t="s">
        <v>158</v>
      </c>
      <c r="D1073" s="45" t="str">
        <f aca="true">OFFSET(plates!$B$116,CODE(LEFT(B1073,1))-64,-1)&amp;"-"&amp;OFFSET(plates!$B$106,-1,MID(B1073,2,3)+0)</f>
        <v>bc264-bc413</v>
      </c>
      <c r="E1073" s="46" t="str">
        <f aca="true">OFFSET(plates!$B$116,CODE(LEFT(B1073,1))-64,MID(B1073,2,3)+0)&amp;""</f>
        <v/>
      </c>
      <c r="F1073" s="46"/>
      <c r="G1073" s="47"/>
      <c r="H1073" s="47"/>
    </row>
    <row r="1074" customFormat="false" ht="12.8" hidden="false" customHeight="false" outlineLevel="0" collapsed="false">
      <c r="A1074" s="44" t="n">
        <v>12</v>
      </c>
      <c r="B1074" s="44" t="s">
        <v>174</v>
      </c>
      <c r="C1074" s="44" t="s">
        <v>158</v>
      </c>
      <c r="D1074" s="45" t="str">
        <f aca="true">OFFSET(plates!$B$116,CODE(LEFT(B1074,1))-64,-1)&amp;"-"&amp;OFFSET(plates!$B$106,-1,MID(B1074,2,3)+0)</f>
        <v>bc168-bc414</v>
      </c>
      <c r="E1074" s="46" t="str">
        <f aca="true">OFFSET(plates!$B$116,CODE(LEFT(B1074,1))-64,MID(B1074,2,3)+0)&amp;""</f>
        <v/>
      </c>
      <c r="F1074" s="46"/>
      <c r="G1074" s="47"/>
      <c r="H1074" s="47"/>
    </row>
    <row r="1075" customFormat="false" ht="12.8" hidden="false" customHeight="false" outlineLevel="0" collapsed="false">
      <c r="A1075" s="44" t="n">
        <v>12</v>
      </c>
      <c r="B1075" s="44" t="s">
        <v>175</v>
      </c>
      <c r="C1075" s="44" t="s">
        <v>158</v>
      </c>
      <c r="D1075" s="45" t="str">
        <f aca="true">OFFSET(plates!$B$116,CODE(LEFT(B1075,1))-64,-1)&amp;"-"&amp;OFFSET(plates!$B$106,-1,MID(B1075,2,3)+0)</f>
        <v>bc183-bc414</v>
      </c>
      <c r="E1075" s="46" t="str">
        <f aca="true">OFFSET(plates!$B$116,CODE(LEFT(B1075,1))-64,MID(B1075,2,3)+0)&amp;""</f>
        <v/>
      </c>
      <c r="F1075" s="46"/>
      <c r="G1075" s="47"/>
      <c r="H1075" s="47"/>
    </row>
    <row r="1076" customFormat="false" ht="12.8" hidden="false" customHeight="false" outlineLevel="0" collapsed="false">
      <c r="A1076" s="44" t="n">
        <v>12</v>
      </c>
      <c r="B1076" s="44" t="s">
        <v>176</v>
      </c>
      <c r="C1076" s="44" t="s">
        <v>158</v>
      </c>
      <c r="D1076" s="45" t="str">
        <f aca="true">OFFSET(plates!$B$116,CODE(LEFT(B1076,1))-64,-1)&amp;"-"&amp;OFFSET(plates!$B$106,-1,MID(B1076,2,3)+0)</f>
        <v>bc192-bc414</v>
      </c>
      <c r="E1076" s="46" t="str">
        <f aca="true">OFFSET(plates!$B$116,CODE(LEFT(B1076,1))-64,MID(B1076,2,3)+0)&amp;""</f>
        <v/>
      </c>
      <c r="F1076" s="46"/>
      <c r="G1076" s="47"/>
      <c r="H1076" s="47"/>
    </row>
    <row r="1077" customFormat="false" ht="12.8" hidden="false" customHeight="false" outlineLevel="0" collapsed="false">
      <c r="A1077" s="44" t="n">
        <v>12</v>
      </c>
      <c r="B1077" s="44" t="s">
        <v>177</v>
      </c>
      <c r="C1077" s="44" t="s">
        <v>158</v>
      </c>
      <c r="D1077" s="45" t="str">
        <f aca="true">OFFSET(plates!$B$116,CODE(LEFT(B1077,1))-64,-1)&amp;"-"&amp;OFFSET(plates!$B$106,-1,MID(B1077,2,3)+0)</f>
        <v>bc205-bc414</v>
      </c>
      <c r="E1077" s="46" t="str">
        <f aca="true">OFFSET(plates!$B$116,CODE(LEFT(B1077,1))-64,MID(B1077,2,3)+0)&amp;""</f>
        <v/>
      </c>
      <c r="F1077" s="46"/>
      <c r="G1077" s="47"/>
      <c r="H1077" s="47"/>
    </row>
    <row r="1078" customFormat="false" ht="12.8" hidden="false" customHeight="false" outlineLevel="0" collapsed="false">
      <c r="A1078" s="44" t="n">
        <v>12</v>
      </c>
      <c r="B1078" s="44" t="s">
        <v>178</v>
      </c>
      <c r="C1078" s="44" t="s">
        <v>158</v>
      </c>
      <c r="D1078" s="45" t="str">
        <f aca="true">OFFSET(plates!$B$116,CODE(LEFT(B1078,1))-64,-1)&amp;"-"&amp;OFFSET(plates!$B$106,-1,MID(B1078,2,3)+0)</f>
        <v>bc219-bc414</v>
      </c>
      <c r="E1078" s="46" t="str">
        <f aca="true">OFFSET(plates!$B$116,CODE(LEFT(B1078,1))-64,MID(B1078,2,3)+0)&amp;""</f>
        <v/>
      </c>
      <c r="F1078" s="46"/>
      <c r="G1078" s="47"/>
      <c r="H1078" s="47"/>
    </row>
    <row r="1079" customFormat="false" ht="12.8" hidden="false" customHeight="false" outlineLevel="0" collapsed="false">
      <c r="A1079" s="44" t="n">
        <v>12</v>
      </c>
      <c r="B1079" s="44" t="s">
        <v>179</v>
      </c>
      <c r="C1079" s="44" t="s">
        <v>158</v>
      </c>
      <c r="D1079" s="45" t="str">
        <f aca="true">OFFSET(plates!$B$116,CODE(LEFT(B1079,1))-64,-1)&amp;"-"&amp;OFFSET(plates!$B$106,-1,MID(B1079,2,3)+0)</f>
        <v>bc220-bc414</v>
      </c>
      <c r="E1079" s="46" t="str">
        <f aca="true">OFFSET(plates!$B$116,CODE(LEFT(B1079,1))-64,MID(B1079,2,3)+0)&amp;""</f>
        <v/>
      </c>
      <c r="F1079" s="46"/>
      <c r="G1079" s="47"/>
      <c r="H1079" s="47"/>
    </row>
    <row r="1080" customFormat="false" ht="12.8" hidden="false" customHeight="false" outlineLevel="0" collapsed="false">
      <c r="A1080" s="44" t="n">
        <v>12</v>
      </c>
      <c r="B1080" s="44" t="s">
        <v>180</v>
      </c>
      <c r="C1080" s="44" t="s">
        <v>158</v>
      </c>
      <c r="D1080" s="45" t="str">
        <f aca="true">OFFSET(plates!$B$116,CODE(LEFT(B1080,1))-64,-1)&amp;"-"&amp;OFFSET(plates!$B$106,-1,MID(B1080,2,3)+0)</f>
        <v>bc258-bc414</v>
      </c>
      <c r="E1080" s="46" t="str">
        <f aca="true">OFFSET(plates!$B$116,CODE(LEFT(B1080,1))-64,MID(B1080,2,3)+0)&amp;""</f>
        <v/>
      </c>
      <c r="F1080" s="46"/>
      <c r="G1080" s="47"/>
      <c r="H1080" s="47"/>
    </row>
    <row r="1081" customFormat="false" ht="12.8" hidden="false" customHeight="false" outlineLevel="0" collapsed="false">
      <c r="A1081" s="44" t="n">
        <v>12</v>
      </c>
      <c r="B1081" s="44" t="s">
        <v>181</v>
      </c>
      <c r="C1081" s="44" t="s">
        <v>158</v>
      </c>
      <c r="D1081" s="45" t="str">
        <f aca="true">OFFSET(plates!$B$116,CODE(LEFT(B1081,1))-64,-1)&amp;"-"&amp;OFFSET(plates!$B$106,-1,MID(B1081,2,3)+0)</f>
        <v>bc264-bc414</v>
      </c>
      <c r="E1081" s="46" t="str">
        <f aca="true">OFFSET(plates!$B$116,CODE(LEFT(B1081,1))-64,MID(B1081,2,3)+0)&amp;""</f>
        <v/>
      </c>
      <c r="F1081" s="46"/>
      <c r="G1081" s="47"/>
      <c r="H1081" s="47"/>
    </row>
    <row r="1082" customFormat="false" ht="12.8" hidden="false" customHeight="false" outlineLevel="0" collapsed="false">
      <c r="A1082" s="44" t="n">
        <v>12</v>
      </c>
      <c r="B1082" s="44" t="s">
        <v>182</v>
      </c>
      <c r="C1082" s="44" t="s">
        <v>158</v>
      </c>
      <c r="D1082" s="45" t="str">
        <f aca="true">OFFSET(plates!$B$116,CODE(LEFT(B1082,1))-64,-1)&amp;"-"&amp;OFFSET(plates!$B$106,-1,MID(B1082,2,3)+0)</f>
        <v>bc168-bc418</v>
      </c>
      <c r="E1082" s="46" t="str">
        <f aca="true">OFFSET(plates!$B$116,CODE(LEFT(B1082,1))-64,MID(B1082,2,3)+0)&amp;""</f>
        <v/>
      </c>
      <c r="F1082" s="46"/>
      <c r="G1082" s="47"/>
      <c r="H1082" s="47"/>
    </row>
    <row r="1083" customFormat="false" ht="12.8" hidden="false" customHeight="false" outlineLevel="0" collapsed="false">
      <c r="A1083" s="44" t="n">
        <v>12</v>
      </c>
      <c r="B1083" s="44" t="s">
        <v>183</v>
      </c>
      <c r="C1083" s="44" t="s">
        <v>158</v>
      </c>
      <c r="D1083" s="45" t="str">
        <f aca="true">OFFSET(plates!$B$116,CODE(LEFT(B1083,1))-64,-1)&amp;"-"&amp;OFFSET(plates!$B$106,-1,MID(B1083,2,3)+0)</f>
        <v>bc183-bc418</v>
      </c>
      <c r="E1083" s="46" t="str">
        <f aca="true">OFFSET(plates!$B$116,CODE(LEFT(B1083,1))-64,MID(B1083,2,3)+0)&amp;""</f>
        <v/>
      </c>
      <c r="F1083" s="46"/>
      <c r="G1083" s="47"/>
      <c r="H1083" s="47"/>
    </row>
    <row r="1084" customFormat="false" ht="12.8" hidden="false" customHeight="false" outlineLevel="0" collapsed="false">
      <c r="A1084" s="44" t="n">
        <v>12</v>
      </c>
      <c r="B1084" s="44" t="s">
        <v>184</v>
      </c>
      <c r="C1084" s="44" t="s">
        <v>158</v>
      </c>
      <c r="D1084" s="45" t="str">
        <f aca="true">OFFSET(plates!$B$116,CODE(LEFT(B1084,1))-64,-1)&amp;"-"&amp;OFFSET(plates!$B$106,-1,MID(B1084,2,3)+0)</f>
        <v>bc192-bc418</v>
      </c>
      <c r="E1084" s="46" t="str">
        <f aca="true">OFFSET(plates!$B$116,CODE(LEFT(B1084,1))-64,MID(B1084,2,3)+0)&amp;""</f>
        <v/>
      </c>
      <c r="F1084" s="46"/>
      <c r="G1084" s="47"/>
      <c r="H1084" s="47"/>
    </row>
    <row r="1085" customFormat="false" ht="12.8" hidden="false" customHeight="false" outlineLevel="0" collapsed="false">
      <c r="A1085" s="44" t="n">
        <v>12</v>
      </c>
      <c r="B1085" s="44" t="s">
        <v>185</v>
      </c>
      <c r="C1085" s="44" t="s">
        <v>158</v>
      </c>
      <c r="D1085" s="45" t="str">
        <f aca="true">OFFSET(plates!$B$116,CODE(LEFT(B1085,1))-64,-1)&amp;"-"&amp;OFFSET(plates!$B$106,-1,MID(B1085,2,3)+0)</f>
        <v>bc205-bc418</v>
      </c>
      <c r="E1085" s="46" t="str">
        <f aca="true">OFFSET(plates!$B$116,CODE(LEFT(B1085,1))-64,MID(B1085,2,3)+0)&amp;""</f>
        <v/>
      </c>
      <c r="F1085" s="46"/>
      <c r="G1085" s="47"/>
      <c r="H1085" s="47"/>
    </row>
    <row r="1086" customFormat="false" ht="12.8" hidden="false" customHeight="false" outlineLevel="0" collapsed="false">
      <c r="A1086" s="44" t="n">
        <v>12</v>
      </c>
      <c r="B1086" s="44" t="s">
        <v>186</v>
      </c>
      <c r="C1086" s="44" t="s">
        <v>158</v>
      </c>
      <c r="D1086" s="45" t="str">
        <f aca="true">OFFSET(plates!$B$116,CODE(LEFT(B1086,1))-64,-1)&amp;"-"&amp;OFFSET(plates!$B$106,-1,MID(B1086,2,3)+0)</f>
        <v>bc219-bc418</v>
      </c>
      <c r="E1086" s="46" t="str">
        <f aca="true">OFFSET(plates!$B$116,CODE(LEFT(B1086,1))-64,MID(B1086,2,3)+0)&amp;""</f>
        <v/>
      </c>
      <c r="F1086" s="46"/>
      <c r="G1086" s="47"/>
      <c r="H1086" s="47"/>
    </row>
    <row r="1087" customFormat="false" ht="12.8" hidden="false" customHeight="false" outlineLevel="0" collapsed="false">
      <c r="A1087" s="44" t="n">
        <v>12</v>
      </c>
      <c r="B1087" s="44" t="s">
        <v>187</v>
      </c>
      <c r="C1087" s="44" t="s">
        <v>158</v>
      </c>
      <c r="D1087" s="45" t="str">
        <f aca="true">OFFSET(plates!$B$116,CODE(LEFT(B1087,1))-64,-1)&amp;"-"&amp;OFFSET(plates!$B$106,-1,MID(B1087,2,3)+0)</f>
        <v>bc220-bc418</v>
      </c>
      <c r="E1087" s="46" t="str">
        <f aca="true">OFFSET(plates!$B$116,CODE(LEFT(B1087,1))-64,MID(B1087,2,3)+0)&amp;""</f>
        <v/>
      </c>
      <c r="F1087" s="46"/>
      <c r="G1087" s="47"/>
      <c r="H1087" s="47"/>
    </row>
    <row r="1088" customFormat="false" ht="12.8" hidden="false" customHeight="false" outlineLevel="0" collapsed="false">
      <c r="A1088" s="44" t="n">
        <v>12</v>
      </c>
      <c r="B1088" s="44" t="s">
        <v>188</v>
      </c>
      <c r="C1088" s="44" t="s">
        <v>158</v>
      </c>
      <c r="D1088" s="45" t="str">
        <f aca="true">OFFSET(plates!$B$116,CODE(LEFT(B1088,1))-64,-1)&amp;"-"&amp;OFFSET(plates!$B$106,-1,MID(B1088,2,3)+0)</f>
        <v>bc258-bc418</v>
      </c>
      <c r="E1088" s="46" t="str">
        <f aca="true">OFFSET(plates!$B$116,CODE(LEFT(B1088,1))-64,MID(B1088,2,3)+0)&amp;""</f>
        <v/>
      </c>
      <c r="F1088" s="46"/>
      <c r="G1088" s="47"/>
      <c r="H1088" s="47"/>
    </row>
    <row r="1089" customFormat="false" ht="12.8" hidden="false" customHeight="false" outlineLevel="0" collapsed="false">
      <c r="A1089" s="44" t="n">
        <v>12</v>
      </c>
      <c r="B1089" s="44" t="s">
        <v>189</v>
      </c>
      <c r="C1089" s="44" t="s">
        <v>158</v>
      </c>
      <c r="D1089" s="45" t="str">
        <f aca="true">OFFSET(plates!$B$116,CODE(LEFT(B1089,1))-64,-1)&amp;"-"&amp;OFFSET(plates!$B$106,-1,MID(B1089,2,3)+0)</f>
        <v>bc264-bc418</v>
      </c>
      <c r="E1089" s="46" t="str">
        <f aca="true">OFFSET(plates!$B$116,CODE(LEFT(B1089,1))-64,MID(B1089,2,3)+0)&amp;""</f>
        <v/>
      </c>
      <c r="F1089" s="46"/>
      <c r="G1089" s="47"/>
      <c r="H1089" s="47"/>
    </row>
    <row r="1090" customFormat="false" ht="12.8" hidden="false" customHeight="false" outlineLevel="0" collapsed="false">
      <c r="A1090" s="44" t="n">
        <v>12</v>
      </c>
      <c r="B1090" s="44" t="s">
        <v>190</v>
      </c>
      <c r="C1090" s="44" t="s">
        <v>158</v>
      </c>
      <c r="D1090" s="45" t="str">
        <f aca="true">OFFSET(plates!$B$116,CODE(LEFT(B1090,1))-64,-1)&amp;"-"&amp;OFFSET(plates!$B$106,-1,MID(B1090,2,3)+0)</f>
        <v>bc168-bc436</v>
      </c>
      <c r="E1090" s="46" t="str">
        <f aca="true">OFFSET(plates!$B$116,CODE(LEFT(B1090,1))-64,MID(B1090,2,3)+0)&amp;""</f>
        <v/>
      </c>
      <c r="F1090" s="46"/>
      <c r="G1090" s="47"/>
      <c r="H1090" s="47"/>
    </row>
    <row r="1091" customFormat="false" ht="12.8" hidden="false" customHeight="false" outlineLevel="0" collapsed="false">
      <c r="A1091" s="44" t="n">
        <v>12</v>
      </c>
      <c r="B1091" s="44" t="s">
        <v>191</v>
      </c>
      <c r="C1091" s="44" t="s">
        <v>158</v>
      </c>
      <c r="D1091" s="45" t="str">
        <f aca="true">OFFSET(plates!$B$116,CODE(LEFT(B1091,1))-64,-1)&amp;"-"&amp;OFFSET(plates!$B$106,-1,MID(B1091,2,3)+0)</f>
        <v>bc183-bc436</v>
      </c>
      <c r="E1091" s="46" t="str">
        <f aca="true">OFFSET(plates!$B$116,CODE(LEFT(B1091,1))-64,MID(B1091,2,3)+0)&amp;""</f>
        <v/>
      </c>
      <c r="F1091" s="46"/>
      <c r="G1091" s="47"/>
      <c r="H1091" s="47"/>
    </row>
    <row r="1092" customFormat="false" ht="12.8" hidden="false" customHeight="false" outlineLevel="0" collapsed="false">
      <c r="A1092" s="44" t="n">
        <v>12</v>
      </c>
      <c r="B1092" s="44" t="s">
        <v>192</v>
      </c>
      <c r="C1092" s="44" t="s">
        <v>158</v>
      </c>
      <c r="D1092" s="45" t="str">
        <f aca="true">OFFSET(plates!$B$116,CODE(LEFT(B1092,1))-64,-1)&amp;"-"&amp;OFFSET(plates!$B$106,-1,MID(B1092,2,3)+0)</f>
        <v>bc192-bc436</v>
      </c>
      <c r="E1092" s="46" t="str">
        <f aca="true">OFFSET(plates!$B$116,CODE(LEFT(B1092,1))-64,MID(B1092,2,3)+0)&amp;""</f>
        <v/>
      </c>
      <c r="F1092" s="46"/>
      <c r="G1092" s="47"/>
      <c r="H1092" s="47"/>
    </row>
    <row r="1093" customFormat="false" ht="12.8" hidden="false" customHeight="false" outlineLevel="0" collapsed="false">
      <c r="A1093" s="44" t="n">
        <v>12</v>
      </c>
      <c r="B1093" s="44" t="s">
        <v>193</v>
      </c>
      <c r="C1093" s="44" t="s">
        <v>158</v>
      </c>
      <c r="D1093" s="45" t="str">
        <f aca="true">OFFSET(plates!$B$116,CODE(LEFT(B1093,1))-64,-1)&amp;"-"&amp;OFFSET(plates!$B$106,-1,MID(B1093,2,3)+0)</f>
        <v>bc205-bc436</v>
      </c>
      <c r="E1093" s="46" t="str">
        <f aca="true">OFFSET(plates!$B$116,CODE(LEFT(B1093,1))-64,MID(B1093,2,3)+0)&amp;""</f>
        <v/>
      </c>
      <c r="F1093" s="46"/>
      <c r="G1093" s="47"/>
      <c r="H1093" s="47"/>
    </row>
    <row r="1094" customFormat="false" ht="12.8" hidden="false" customHeight="false" outlineLevel="0" collapsed="false">
      <c r="A1094" s="44" t="n">
        <v>12</v>
      </c>
      <c r="B1094" s="44" t="s">
        <v>194</v>
      </c>
      <c r="C1094" s="44" t="s">
        <v>158</v>
      </c>
      <c r="D1094" s="45" t="str">
        <f aca="true">OFFSET(plates!$B$116,CODE(LEFT(B1094,1))-64,-1)&amp;"-"&amp;OFFSET(plates!$B$106,-1,MID(B1094,2,3)+0)</f>
        <v>bc219-bc436</v>
      </c>
      <c r="E1094" s="46" t="str">
        <f aca="true">OFFSET(plates!$B$116,CODE(LEFT(B1094,1))-64,MID(B1094,2,3)+0)&amp;""</f>
        <v/>
      </c>
      <c r="F1094" s="46"/>
      <c r="G1094" s="47"/>
      <c r="H1094" s="47"/>
    </row>
    <row r="1095" customFormat="false" ht="12.8" hidden="false" customHeight="false" outlineLevel="0" collapsed="false">
      <c r="A1095" s="44" t="n">
        <v>12</v>
      </c>
      <c r="B1095" s="44" t="s">
        <v>195</v>
      </c>
      <c r="C1095" s="44" t="s">
        <v>158</v>
      </c>
      <c r="D1095" s="45" t="str">
        <f aca="true">OFFSET(plates!$B$116,CODE(LEFT(B1095,1))-64,-1)&amp;"-"&amp;OFFSET(plates!$B$106,-1,MID(B1095,2,3)+0)</f>
        <v>bc220-bc436</v>
      </c>
      <c r="E1095" s="46" t="str">
        <f aca="true">OFFSET(plates!$B$116,CODE(LEFT(B1095,1))-64,MID(B1095,2,3)+0)&amp;""</f>
        <v/>
      </c>
      <c r="F1095" s="46"/>
      <c r="G1095" s="47"/>
      <c r="H1095" s="47"/>
    </row>
    <row r="1096" customFormat="false" ht="12.8" hidden="false" customHeight="false" outlineLevel="0" collapsed="false">
      <c r="A1096" s="44" t="n">
        <v>12</v>
      </c>
      <c r="B1096" s="44" t="s">
        <v>196</v>
      </c>
      <c r="C1096" s="44" t="s">
        <v>158</v>
      </c>
      <c r="D1096" s="45" t="str">
        <f aca="true">OFFSET(plates!$B$116,CODE(LEFT(B1096,1))-64,-1)&amp;"-"&amp;OFFSET(plates!$B$106,-1,MID(B1096,2,3)+0)</f>
        <v>bc258-bc436</v>
      </c>
      <c r="E1096" s="46" t="str">
        <f aca="true">OFFSET(plates!$B$116,CODE(LEFT(B1096,1))-64,MID(B1096,2,3)+0)&amp;""</f>
        <v/>
      </c>
      <c r="F1096" s="46"/>
      <c r="G1096" s="47"/>
      <c r="H1096" s="47"/>
    </row>
    <row r="1097" customFormat="false" ht="12.8" hidden="false" customHeight="false" outlineLevel="0" collapsed="false">
      <c r="A1097" s="44" t="n">
        <v>12</v>
      </c>
      <c r="B1097" s="44" t="s">
        <v>197</v>
      </c>
      <c r="C1097" s="44" t="s">
        <v>158</v>
      </c>
      <c r="D1097" s="45" t="str">
        <f aca="true">OFFSET(plates!$B$116,CODE(LEFT(B1097,1))-64,-1)&amp;"-"&amp;OFFSET(plates!$B$106,-1,MID(B1097,2,3)+0)</f>
        <v>bc264-bc436</v>
      </c>
      <c r="E1097" s="46" t="str">
        <f aca="true">OFFSET(plates!$B$116,CODE(LEFT(B1097,1))-64,MID(B1097,2,3)+0)&amp;""</f>
        <v/>
      </c>
      <c r="F1097" s="46"/>
      <c r="G1097" s="47"/>
      <c r="H1097" s="47"/>
    </row>
    <row r="1098" customFormat="false" ht="12.8" hidden="false" customHeight="false" outlineLevel="0" collapsed="false">
      <c r="A1098" s="44" t="n">
        <v>12</v>
      </c>
      <c r="B1098" s="44" t="s">
        <v>198</v>
      </c>
      <c r="C1098" s="44" t="s">
        <v>158</v>
      </c>
      <c r="D1098" s="45" t="str">
        <f aca="true">OFFSET(plates!$B$116,CODE(LEFT(B1098,1))-64,-1)&amp;"-"&amp;OFFSET(plates!$B$106,-1,MID(B1098,2,3)+0)</f>
        <v>bc168-bc471</v>
      </c>
      <c r="E1098" s="46" t="str">
        <f aca="true">OFFSET(plates!$B$116,CODE(LEFT(B1098,1))-64,MID(B1098,2,3)+0)&amp;""</f>
        <v/>
      </c>
      <c r="F1098" s="46"/>
      <c r="G1098" s="47"/>
      <c r="H1098" s="47"/>
    </row>
    <row r="1099" customFormat="false" ht="12.8" hidden="false" customHeight="false" outlineLevel="0" collapsed="false">
      <c r="A1099" s="44" t="n">
        <v>12</v>
      </c>
      <c r="B1099" s="44" t="s">
        <v>199</v>
      </c>
      <c r="C1099" s="44" t="s">
        <v>158</v>
      </c>
      <c r="D1099" s="45" t="str">
        <f aca="true">OFFSET(plates!$B$116,CODE(LEFT(B1099,1))-64,-1)&amp;"-"&amp;OFFSET(plates!$B$106,-1,MID(B1099,2,3)+0)</f>
        <v>bc183-bc471</v>
      </c>
      <c r="E1099" s="46" t="str">
        <f aca="true">OFFSET(plates!$B$116,CODE(LEFT(B1099,1))-64,MID(B1099,2,3)+0)&amp;""</f>
        <v/>
      </c>
      <c r="F1099" s="46"/>
      <c r="G1099" s="47"/>
      <c r="H1099" s="47"/>
    </row>
    <row r="1100" customFormat="false" ht="12.8" hidden="false" customHeight="false" outlineLevel="0" collapsed="false">
      <c r="A1100" s="44" t="n">
        <v>12</v>
      </c>
      <c r="B1100" s="44" t="s">
        <v>200</v>
      </c>
      <c r="C1100" s="44" t="s">
        <v>158</v>
      </c>
      <c r="D1100" s="45" t="str">
        <f aca="true">OFFSET(plates!$B$116,CODE(LEFT(B1100,1))-64,-1)&amp;"-"&amp;OFFSET(plates!$B$106,-1,MID(B1100,2,3)+0)</f>
        <v>bc192-bc471</v>
      </c>
      <c r="E1100" s="46" t="str">
        <f aca="true">OFFSET(plates!$B$116,CODE(LEFT(B1100,1))-64,MID(B1100,2,3)+0)&amp;""</f>
        <v/>
      </c>
      <c r="F1100" s="46"/>
      <c r="G1100" s="47"/>
      <c r="H1100" s="47"/>
    </row>
    <row r="1101" customFormat="false" ht="12.8" hidden="false" customHeight="false" outlineLevel="0" collapsed="false">
      <c r="A1101" s="44" t="n">
        <v>12</v>
      </c>
      <c r="B1101" s="44" t="s">
        <v>201</v>
      </c>
      <c r="C1101" s="44" t="s">
        <v>158</v>
      </c>
      <c r="D1101" s="45" t="str">
        <f aca="true">OFFSET(plates!$B$116,CODE(LEFT(B1101,1))-64,-1)&amp;"-"&amp;OFFSET(plates!$B$106,-1,MID(B1101,2,3)+0)</f>
        <v>bc205-bc471</v>
      </c>
      <c r="E1101" s="46" t="str">
        <f aca="true">OFFSET(plates!$B$116,CODE(LEFT(B1101,1))-64,MID(B1101,2,3)+0)&amp;""</f>
        <v/>
      </c>
      <c r="F1101" s="46"/>
      <c r="G1101" s="47"/>
      <c r="H1101" s="47"/>
    </row>
    <row r="1102" customFormat="false" ht="12.8" hidden="false" customHeight="false" outlineLevel="0" collapsed="false">
      <c r="A1102" s="44" t="n">
        <v>12</v>
      </c>
      <c r="B1102" s="44" t="s">
        <v>202</v>
      </c>
      <c r="C1102" s="44" t="s">
        <v>158</v>
      </c>
      <c r="D1102" s="45" t="str">
        <f aca="true">OFFSET(plates!$B$116,CODE(LEFT(B1102,1))-64,-1)&amp;"-"&amp;OFFSET(plates!$B$106,-1,MID(B1102,2,3)+0)</f>
        <v>bc219-bc471</v>
      </c>
      <c r="E1102" s="46" t="str">
        <f aca="true">OFFSET(plates!$B$116,CODE(LEFT(B1102,1))-64,MID(B1102,2,3)+0)&amp;""</f>
        <v/>
      </c>
      <c r="F1102" s="46"/>
      <c r="G1102" s="47"/>
      <c r="H1102" s="47"/>
    </row>
    <row r="1103" customFormat="false" ht="12.8" hidden="false" customHeight="false" outlineLevel="0" collapsed="false">
      <c r="A1103" s="44" t="n">
        <v>12</v>
      </c>
      <c r="B1103" s="44" t="s">
        <v>203</v>
      </c>
      <c r="C1103" s="44" t="s">
        <v>158</v>
      </c>
      <c r="D1103" s="45" t="str">
        <f aca="true">OFFSET(plates!$B$116,CODE(LEFT(B1103,1))-64,-1)&amp;"-"&amp;OFFSET(plates!$B$106,-1,MID(B1103,2,3)+0)</f>
        <v>bc220-bc471</v>
      </c>
      <c r="E1103" s="46" t="str">
        <f aca="true">OFFSET(plates!$B$116,CODE(LEFT(B1103,1))-64,MID(B1103,2,3)+0)&amp;""</f>
        <v/>
      </c>
      <c r="F1103" s="46"/>
      <c r="G1103" s="47"/>
      <c r="H1103" s="47"/>
    </row>
    <row r="1104" customFormat="false" ht="12.8" hidden="false" customHeight="false" outlineLevel="0" collapsed="false">
      <c r="A1104" s="44" t="n">
        <v>12</v>
      </c>
      <c r="B1104" s="44" t="s">
        <v>204</v>
      </c>
      <c r="C1104" s="44" t="s">
        <v>158</v>
      </c>
      <c r="D1104" s="45" t="str">
        <f aca="true">OFFSET(plates!$B$116,CODE(LEFT(B1104,1))-64,-1)&amp;"-"&amp;OFFSET(plates!$B$106,-1,MID(B1104,2,3)+0)</f>
        <v>bc258-bc471</v>
      </c>
      <c r="E1104" s="46" t="str">
        <f aca="true">OFFSET(plates!$B$116,CODE(LEFT(B1104,1))-64,MID(B1104,2,3)+0)&amp;""</f>
        <v/>
      </c>
      <c r="F1104" s="46"/>
      <c r="G1104" s="47"/>
      <c r="H1104" s="47"/>
    </row>
    <row r="1105" customFormat="false" ht="12.8" hidden="false" customHeight="false" outlineLevel="0" collapsed="false">
      <c r="A1105" s="44" t="n">
        <v>12</v>
      </c>
      <c r="B1105" s="44" t="s">
        <v>205</v>
      </c>
      <c r="C1105" s="44" t="s">
        <v>158</v>
      </c>
      <c r="D1105" s="45" t="str">
        <f aca="true">OFFSET(plates!$B$116,CODE(LEFT(B1105,1))-64,-1)&amp;"-"&amp;OFFSET(plates!$B$106,-1,MID(B1105,2,3)+0)</f>
        <v>bc264-bc471</v>
      </c>
      <c r="E1105" s="46" t="str">
        <f aca="true">OFFSET(plates!$B$116,CODE(LEFT(B1105,1))-64,MID(B1105,2,3)+0)&amp;""</f>
        <v/>
      </c>
      <c r="F1105" s="46"/>
      <c r="G1105" s="47"/>
      <c r="H1105" s="47"/>
    </row>
    <row r="1106" customFormat="false" ht="12.8" hidden="false" customHeight="false" outlineLevel="0" collapsed="false">
      <c r="A1106" s="44" t="n">
        <v>12</v>
      </c>
      <c r="B1106" s="44" t="s">
        <v>206</v>
      </c>
      <c r="C1106" s="44" t="s">
        <v>158</v>
      </c>
      <c r="D1106" s="45" t="str">
        <f aca="true">OFFSET(plates!$B$116,CODE(LEFT(B1106,1))-64,-1)&amp;"-"&amp;OFFSET(plates!$B$106,-1,MID(B1106,2,3)+0)</f>
        <v>bc168-bc488</v>
      </c>
      <c r="E1106" s="46" t="str">
        <f aca="true">OFFSET(plates!$B$116,CODE(LEFT(B1106,1))-64,MID(B1106,2,3)+0)&amp;""</f>
        <v/>
      </c>
      <c r="F1106" s="46"/>
      <c r="G1106" s="47"/>
      <c r="H1106" s="47"/>
    </row>
    <row r="1107" customFormat="false" ht="12.8" hidden="false" customHeight="false" outlineLevel="0" collapsed="false">
      <c r="A1107" s="44" t="n">
        <v>12</v>
      </c>
      <c r="B1107" s="44" t="s">
        <v>207</v>
      </c>
      <c r="C1107" s="44" t="s">
        <v>158</v>
      </c>
      <c r="D1107" s="45" t="str">
        <f aca="true">OFFSET(plates!$B$116,CODE(LEFT(B1107,1))-64,-1)&amp;"-"&amp;OFFSET(plates!$B$106,-1,MID(B1107,2,3)+0)</f>
        <v>bc183-bc488</v>
      </c>
      <c r="E1107" s="46" t="str">
        <f aca="true">OFFSET(plates!$B$116,CODE(LEFT(B1107,1))-64,MID(B1107,2,3)+0)&amp;""</f>
        <v/>
      </c>
      <c r="F1107" s="46"/>
      <c r="G1107" s="47"/>
      <c r="H1107" s="47"/>
    </row>
    <row r="1108" customFormat="false" ht="12.8" hidden="false" customHeight="false" outlineLevel="0" collapsed="false">
      <c r="A1108" s="44" t="n">
        <v>12</v>
      </c>
      <c r="B1108" s="44" t="s">
        <v>208</v>
      </c>
      <c r="C1108" s="44" t="s">
        <v>158</v>
      </c>
      <c r="D1108" s="45" t="str">
        <f aca="true">OFFSET(plates!$B$116,CODE(LEFT(B1108,1))-64,-1)&amp;"-"&amp;OFFSET(plates!$B$106,-1,MID(B1108,2,3)+0)</f>
        <v>bc192-bc488</v>
      </c>
      <c r="E1108" s="46" t="str">
        <f aca="true">OFFSET(plates!$B$116,CODE(LEFT(B1108,1))-64,MID(B1108,2,3)+0)&amp;""</f>
        <v/>
      </c>
      <c r="F1108" s="46"/>
      <c r="G1108" s="47"/>
      <c r="H1108" s="47"/>
    </row>
    <row r="1109" customFormat="false" ht="12.8" hidden="false" customHeight="false" outlineLevel="0" collapsed="false">
      <c r="A1109" s="44" t="n">
        <v>12</v>
      </c>
      <c r="B1109" s="44" t="s">
        <v>209</v>
      </c>
      <c r="C1109" s="44" t="s">
        <v>158</v>
      </c>
      <c r="D1109" s="45" t="str">
        <f aca="true">OFFSET(plates!$B$116,CODE(LEFT(B1109,1))-64,-1)&amp;"-"&amp;OFFSET(plates!$B$106,-1,MID(B1109,2,3)+0)</f>
        <v>bc205-bc488</v>
      </c>
      <c r="E1109" s="46" t="str">
        <f aca="true">OFFSET(plates!$B$116,CODE(LEFT(B1109,1))-64,MID(B1109,2,3)+0)&amp;""</f>
        <v/>
      </c>
      <c r="F1109" s="46"/>
      <c r="G1109" s="47"/>
      <c r="H1109" s="47"/>
    </row>
    <row r="1110" customFormat="false" ht="12.8" hidden="false" customHeight="false" outlineLevel="0" collapsed="false">
      <c r="A1110" s="44" t="n">
        <v>12</v>
      </c>
      <c r="B1110" s="44" t="s">
        <v>210</v>
      </c>
      <c r="C1110" s="44" t="s">
        <v>158</v>
      </c>
      <c r="D1110" s="45" t="str">
        <f aca="true">OFFSET(plates!$B$116,CODE(LEFT(B1110,1))-64,-1)&amp;"-"&amp;OFFSET(plates!$B$106,-1,MID(B1110,2,3)+0)</f>
        <v>bc219-bc488</v>
      </c>
      <c r="E1110" s="46" t="str">
        <f aca="true">OFFSET(plates!$B$116,CODE(LEFT(B1110,1))-64,MID(B1110,2,3)+0)&amp;""</f>
        <v/>
      </c>
      <c r="F1110" s="46"/>
      <c r="G1110" s="47"/>
      <c r="H1110" s="47"/>
    </row>
    <row r="1111" customFormat="false" ht="12.8" hidden="false" customHeight="false" outlineLevel="0" collapsed="false">
      <c r="A1111" s="44" t="n">
        <v>12</v>
      </c>
      <c r="B1111" s="44" t="s">
        <v>211</v>
      </c>
      <c r="C1111" s="44" t="s">
        <v>158</v>
      </c>
      <c r="D1111" s="45" t="str">
        <f aca="true">OFFSET(plates!$B$116,CODE(LEFT(B1111,1))-64,-1)&amp;"-"&amp;OFFSET(plates!$B$106,-1,MID(B1111,2,3)+0)</f>
        <v>bc220-bc488</v>
      </c>
      <c r="E1111" s="46" t="str">
        <f aca="true">OFFSET(plates!$B$116,CODE(LEFT(B1111,1))-64,MID(B1111,2,3)+0)&amp;""</f>
        <v/>
      </c>
      <c r="F1111" s="46"/>
      <c r="G1111" s="47"/>
      <c r="H1111" s="47"/>
    </row>
    <row r="1112" customFormat="false" ht="12.8" hidden="false" customHeight="false" outlineLevel="0" collapsed="false">
      <c r="A1112" s="44" t="n">
        <v>12</v>
      </c>
      <c r="B1112" s="44" t="s">
        <v>212</v>
      </c>
      <c r="C1112" s="44" t="s">
        <v>158</v>
      </c>
      <c r="D1112" s="45" t="str">
        <f aca="true">OFFSET(plates!$B$116,CODE(LEFT(B1112,1))-64,-1)&amp;"-"&amp;OFFSET(plates!$B$106,-1,MID(B1112,2,3)+0)</f>
        <v>bc258-bc488</v>
      </c>
      <c r="E1112" s="46" t="str">
        <f aca="true">OFFSET(plates!$B$116,CODE(LEFT(B1112,1))-64,MID(B1112,2,3)+0)&amp;""</f>
        <v/>
      </c>
      <c r="F1112" s="46"/>
      <c r="G1112" s="47"/>
      <c r="H1112" s="47"/>
    </row>
    <row r="1113" customFormat="false" ht="12.8" hidden="false" customHeight="false" outlineLevel="0" collapsed="false">
      <c r="A1113" s="44" t="n">
        <v>12</v>
      </c>
      <c r="B1113" s="44" t="s">
        <v>213</v>
      </c>
      <c r="C1113" s="44" t="s">
        <v>158</v>
      </c>
      <c r="D1113" s="45" t="str">
        <f aca="true">OFFSET(plates!$B$116,CODE(LEFT(B1113,1))-64,-1)&amp;"-"&amp;OFFSET(plates!$B$106,-1,MID(B1113,2,3)+0)</f>
        <v>bc264-bc488</v>
      </c>
      <c r="E1113" s="46" t="str">
        <f aca="true">OFFSET(plates!$B$116,CODE(LEFT(B1113,1))-64,MID(B1113,2,3)+0)&amp;""</f>
        <v/>
      </c>
      <c r="F1113" s="46"/>
      <c r="G1113" s="47"/>
      <c r="H1113" s="47"/>
    </row>
    <row r="1114" customFormat="false" ht="12.8" hidden="false" customHeight="false" outlineLevel="0" collapsed="false">
      <c r="A1114" s="44" t="n">
        <v>12</v>
      </c>
      <c r="B1114" s="44" t="s">
        <v>214</v>
      </c>
      <c r="C1114" s="44" t="s">
        <v>158</v>
      </c>
      <c r="D1114" s="45" t="str">
        <f aca="true">OFFSET(plates!$B$116,CODE(LEFT(B1114,1))-64,-1)&amp;"-"&amp;OFFSET(plates!$B$106,-1,MID(B1114,2,3)+0)</f>
        <v>bc168-bc497</v>
      </c>
      <c r="E1114" s="46" t="str">
        <f aca="true">OFFSET(plates!$B$116,CODE(LEFT(B1114,1))-64,MID(B1114,2,3)+0)&amp;""</f>
        <v/>
      </c>
      <c r="F1114" s="46"/>
      <c r="G1114" s="47"/>
      <c r="H1114" s="47"/>
    </row>
    <row r="1115" customFormat="false" ht="12.8" hidden="false" customHeight="false" outlineLevel="0" collapsed="false">
      <c r="A1115" s="44" t="n">
        <v>12</v>
      </c>
      <c r="B1115" s="44" t="s">
        <v>215</v>
      </c>
      <c r="C1115" s="44" t="s">
        <v>158</v>
      </c>
      <c r="D1115" s="45" t="str">
        <f aca="true">OFFSET(plates!$B$116,CODE(LEFT(B1115,1))-64,-1)&amp;"-"&amp;OFFSET(plates!$B$106,-1,MID(B1115,2,3)+0)</f>
        <v>bc183-bc497</v>
      </c>
      <c r="E1115" s="46" t="str">
        <f aca="true">OFFSET(plates!$B$116,CODE(LEFT(B1115,1))-64,MID(B1115,2,3)+0)&amp;""</f>
        <v/>
      </c>
      <c r="F1115" s="46"/>
      <c r="G1115" s="47"/>
      <c r="H1115" s="47"/>
    </row>
    <row r="1116" customFormat="false" ht="12.8" hidden="false" customHeight="false" outlineLevel="0" collapsed="false">
      <c r="A1116" s="44" t="n">
        <v>12</v>
      </c>
      <c r="B1116" s="44" t="s">
        <v>216</v>
      </c>
      <c r="C1116" s="44" t="s">
        <v>158</v>
      </c>
      <c r="D1116" s="45" t="str">
        <f aca="true">OFFSET(plates!$B$116,CODE(LEFT(B1116,1))-64,-1)&amp;"-"&amp;OFFSET(plates!$B$106,-1,MID(B1116,2,3)+0)</f>
        <v>bc192-bc497</v>
      </c>
      <c r="E1116" s="46" t="str">
        <f aca="true">OFFSET(plates!$B$116,CODE(LEFT(B1116,1))-64,MID(B1116,2,3)+0)&amp;""</f>
        <v/>
      </c>
      <c r="F1116" s="46"/>
      <c r="G1116" s="47"/>
      <c r="H1116" s="47"/>
    </row>
    <row r="1117" customFormat="false" ht="12.8" hidden="false" customHeight="false" outlineLevel="0" collapsed="false">
      <c r="A1117" s="44" t="n">
        <v>12</v>
      </c>
      <c r="B1117" s="44" t="s">
        <v>217</v>
      </c>
      <c r="C1117" s="44" t="s">
        <v>158</v>
      </c>
      <c r="D1117" s="45" t="str">
        <f aca="true">OFFSET(plates!$B$116,CODE(LEFT(B1117,1))-64,-1)&amp;"-"&amp;OFFSET(plates!$B$106,-1,MID(B1117,2,3)+0)</f>
        <v>bc205-bc497</v>
      </c>
      <c r="E1117" s="46" t="str">
        <f aca="true">OFFSET(plates!$B$116,CODE(LEFT(B1117,1))-64,MID(B1117,2,3)+0)&amp;""</f>
        <v/>
      </c>
      <c r="F1117" s="46"/>
      <c r="G1117" s="47"/>
      <c r="H1117" s="47"/>
    </row>
    <row r="1118" customFormat="false" ht="12.8" hidden="false" customHeight="false" outlineLevel="0" collapsed="false">
      <c r="A1118" s="44" t="n">
        <v>12</v>
      </c>
      <c r="B1118" s="44" t="s">
        <v>218</v>
      </c>
      <c r="C1118" s="44" t="s">
        <v>158</v>
      </c>
      <c r="D1118" s="45" t="str">
        <f aca="true">OFFSET(plates!$B$116,CODE(LEFT(B1118,1))-64,-1)&amp;"-"&amp;OFFSET(plates!$B$106,-1,MID(B1118,2,3)+0)</f>
        <v>bc219-bc497</v>
      </c>
      <c r="E1118" s="46" t="str">
        <f aca="true">OFFSET(plates!$B$116,CODE(LEFT(B1118,1))-64,MID(B1118,2,3)+0)&amp;""</f>
        <v/>
      </c>
      <c r="F1118" s="46"/>
      <c r="G1118" s="47"/>
      <c r="H1118" s="47"/>
    </row>
    <row r="1119" customFormat="false" ht="12.8" hidden="false" customHeight="false" outlineLevel="0" collapsed="false">
      <c r="A1119" s="44" t="n">
        <v>12</v>
      </c>
      <c r="B1119" s="44" t="s">
        <v>219</v>
      </c>
      <c r="C1119" s="44" t="s">
        <v>158</v>
      </c>
      <c r="D1119" s="45" t="str">
        <f aca="true">OFFSET(plates!$B$116,CODE(LEFT(B1119,1))-64,-1)&amp;"-"&amp;OFFSET(plates!$B$106,-1,MID(B1119,2,3)+0)</f>
        <v>bc220-bc497</v>
      </c>
      <c r="E1119" s="46" t="str">
        <f aca="true">OFFSET(plates!$B$116,CODE(LEFT(B1119,1))-64,MID(B1119,2,3)+0)&amp;""</f>
        <v/>
      </c>
      <c r="F1119" s="46"/>
      <c r="G1119" s="47"/>
      <c r="H1119" s="47"/>
    </row>
    <row r="1120" customFormat="false" ht="12.8" hidden="false" customHeight="false" outlineLevel="0" collapsed="false">
      <c r="A1120" s="44" t="n">
        <v>12</v>
      </c>
      <c r="B1120" s="44" t="s">
        <v>220</v>
      </c>
      <c r="C1120" s="44" t="s">
        <v>158</v>
      </c>
      <c r="D1120" s="45" t="str">
        <f aca="true">OFFSET(plates!$B$116,CODE(LEFT(B1120,1))-64,-1)&amp;"-"&amp;OFFSET(plates!$B$106,-1,MID(B1120,2,3)+0)</f>
        <v>bc258-bc497</v>
      </c>
      <c r="E1120" s="46" t="str">
        <f aca="true">OFFSET(plates!$B$116,CODE(LEFT(B1120,1))-64,MID(B1120,2,3)+0)&amp;""</f>
        <v/>
      </c>
      <c r="F1120" s="46"/>
      <c r="G1120" s="47"/>
      <c r="H1120" s="47"/>
    </row>
    <row r="1121" customFormat="false" ht="12.8" hidden="false" customHeight="false" outlineLevel="0" collapsed="false">
      <c r="A1121" s="44" t="n">
        <v>12</v>
      </c>
      <c r="B1121" s="44" t="s">
        <v>221</v>
      </c>
      <c r="C1121" s="44" t="s">
        <v>158</v>
      </c>
      <c r="D1121" s="45" t="str">
        <f aca="true">OFFSET(plates!$B$116,CODE(LEFT(B1121,1))-64,-1)&amp;"-"&amp;OFFSET(plates!$B$106,-1,MID(B1121,2,3)+0)</f>
        <v>bc264-bc497</v>
      </c>
      <c r="E1121" s="46" t="str">
        <f aca="true">OFFSET(plates!$B$116,CODE(LEFT(B1121,1))-64,MID(B1121,2,3)+0)&amp;""</f>
        <v/>
      </c>
      <c r="F1121" s="46"/>
      <c r="G1121" s="47"/>
      <c r="H1121" s="47"/>
    </row>
    <row r="1122" customFormat="false" ht="12.8" hidden="false" customHeight="false" outlineLevel="0" collapsed="false">
      <c r="A1122" s="44" t="n">
        <v>12</v>
      </c>
      <c r="B1122" s="44" t="s">
        <v>222</v>
      </c>
      <c r="C1122" s="44" t="s">
        <v>158</v>
      </c>
      <c r="D1122" s="45" t="str">
        <f aca="true">OFFSET(plates!$B$116,CODE(LEFT(B1122,1))-64,-1)&amp;"-"&amp;OFFSET(plates!$B$106,-1,MID(B1122,2,3)+0)</f>
        <v>bc168-bc500</v>
      </c>
      <c r="E1122" s="46" t="str">
        <f aca="true">OFFSET(plates!$B$116,CODE(LEFT(B1122,1))-64,MID(B1122,2,3)+0)&amp;""</f>
        <v/>
      </c>
      <c r="F1122" s="46"/>
      <c r="G1122" s="47"/>
      <c r="H1122" s="47"/>
    </row>
    <row r="1123" customFormat="false" ht="12.8" hidden="false" customHeight="false" outlineLevel="0" collapsed="false">
      <c r="A1123" s="44" t="n">
        <v>12</v>
      </c>
      <c r="B1123" s="44" t="s">
        <v>223</v>
      </c>
      <c r="C1123" s="44" t="s">
        <v>158</v>
      </c>
      <c r="D1123" s="45" t="str">
        <f aca="true">OFFSET(plates!$B$116,CODE(LEFT(B1123,1))-64,-1)&amp;"-"&amp;OFFSET(plates!$B$106,-1,MID(B1123,2,3)+0)</f>
        <v>bc183-bc500</v>
      </c>
      <c r="E1123" s="46" t="str">
        <f aca="true">OFFSET(plates!$B$116,CODE(LEFT(B1123,1))-64,MID(B1123,2,3)+0)&amp;""</f>
        <v/>
      </c>
      <c r="F1123" s="46"/>
      <c r="G1123" s="47"/>
      <c r="H1123" s="47"/>
    </row>
    <row r="1124" customFormat="false" ht="12.8" hidden="false" customHeight="false" outlineLevel="0" collapsed="false">
      <c r="A1124" s="44" t="n">
        <v>12</v>
      </c>
      <c r="B1124" s="44" t="s">
        <v>224</v>
      </c>
      <c r="C1124" s="44" t="s">
        <v>158</v>
      </c>
      <c r="D1124" s="45" t="str">
        <f aca="true">OFFSET(plates!$B$116,CODE(LEFT(B1124,1))-64,-1)&amp;"-"&amp;OFFSET(plates!$B$106,-1,MID(B1124,2,3)+0)</f>
        <v>bc192-bc500</v>
      </c>
      <c r="E1124" s="46" t="str">
        <f aca="true">OFFSET(plates!$B$116,CODE(LEFT(B1124,1))-64,MID(B1124,2,3)+0)&amp;""</f>
        <v/>
      </c>
      <c r="F1124" s="46"/>
      <c r="G1124" s="47"/>
      <c r="H1124" s="47"/>
    </row>
    <row r="1125" customFormat="false" ht="12.8" hidden="false" customHeight="false" outlineLevel="0" collapsed="false">
      <c r="A1125" s="44" t="n">
        <v>12</v>
      </c>
      <c r="B1125" s="44" t="s">
        <v>225</v>
      </c>
      <c r="C1125" s="44" t="s">
        <v>158</v>
      </c>
      <c r="D1125" s="45" t="str">
        <f aca="true">OFFSET(plates!$B$116,CODE(LEFT(B1125,1))-64,-1)&amp;"-"&amp;OFFSET(plates!$B$106,-1,MID(B1125,2,3)+0)</f>
        <v>bc205-bc500</v>
      </c>
      <c r="E1125" s="46" t="str">
        <f aca="true">OFFSET(plates!$B$116,CODE(LEFT(B1125,1))-64,MID(B1125,2,3)+0)&amp;""</f>
        <v/>
      </c>
      <c r="F1125" s="46"/>
      <c r="G1125" s="47"/>
      <c r="H1125" s="47"/>
    </row>
    <row r="1126" customFormat="false" ht="12.8" hidden="false" customHeight="false" outlineLevel="0" collapsed="false">
      <c r="A1126" s="44" t="n">
        <v>12</v>
      </c>
      <c r="B1126" s="44" t="s">
        <v>226</v>
      </c>
      <c r="C1126" s="44" t="s">
        <v>158</v>
      </c>
      <c r="D1126" s="45" t="str">
        <f aca="true">OFFSET(plates!$B$116,CODE(LEFT(B1126,1))-64,-1)&amp;"-"&amp;OFFSET(plates!$B$106,-1,MID(B1126,2,3)+0)</f>
        <v>bc219-bc500</v>
      </c>
      <c r="E1126" s="46" t="str">
        <f aca="true">OFFSET(plates!$B$116,CODE(LEFT(B1126,1))-64,MID(B1126,2,3)+0)&amp;""</f>
        <v/>
      </c>
      <c r="F1126" s="46"/>
      <c r="G1126" s="47"/>
      <c r="H1126" s="47"/>
    </row>
    <row r="1127" customFormat="false" ht="12.8" hidden="false" customHeight="false" outlineLevel="0" collapsed="false">
      <c r="A1127" s="44" t="n">
        <v>12</v>
      </c>
      <c r="B1127" s="44" t="s">
        <v>227</v>
      </c>
      <c r="C1127" s="44" t="s">
        <v>158</v>
      </c>
      <c r="D1127" s="45" t="str">
        <f aca="true">OFFSET(plates!$B$116,CODE(LEFT(B1127,1))-64,-1)&amp;"-"&amp;OFFSET(plates!$B$106,-1,MID(B1127,2,3)+0)</f>
        <v>bc220-bc500</v>
      </c>
      <c r="E1127" s="46" t="str">
        <f aca="true">OFFSET(plates!$B$116,CODE(LEFT(B1127,1))-64,MID(B1127,2,3)+0)&amp;""</f>
        <v/>
      </c>
      <c r="F1127" s="46"/>
      <c r="G1127" s="47"/>
      <c r="H1127" s="47"/>
    </row>
    <row r="1128" customFormat="false" ht="12.8" hidden="false" customHeight="false" outlineLevel="0" collapsed="false">
      <c r="A1128" s="44" t="n">
        <v>12</v>
      </c>
      <c r="B1128" s="44" t="s">
        <v>228</v>
      </c>
      <c r="C1128" s="44" t="s">
        <v>158</v>
      </c>
      <c r="D1128" s="45" t="str">
        <f aca="true">OFFSET(plates!$B$116,CODE(LEFT(B1128,1))-64,-1)&amp;"-"&amp;OFFSET(plates!$B$106,-1,MID(B1128,2,3)+0)</f>
        <v>bc258-bc500</v>
      </c>
      <c r="E1128" s="46" t="str">
        <f aca="true">OFFSET(plates!$B$116,CODE(LEFT(B1128,1))-64,MID(B1128,2,3)+0)&amp;""</f>
        <v/>
      </c>
      <c r="F1128" s="46"/>
      <c r="G1128" s="47"/>
      <c r="H1128" s="47"/>
    </row>
    <row r="1129" customFormat="false" ht="12.8" hidden="false" customHeight="false" outlineLevel="0" collapsed="false">
      <c r="A1129" s="44" t="n">
        <v>12</v>
      </c>
      <c r="B1129" s="44" t="s">
        <v>229</v>
      </c>
      <c r="C1129" s="44" t="s">
        <v>158</v>
      </c>
      <c r="D1129" s="45" t="str">
        <f aca="true">OFFSET(plates!$B$116,CODE(LEFT(B1129,1))-64,-1)&amp;"-"&amp;OFFSET(plates!$B$106,-1,MID(B1129,2,3)+0)</f>
        <v>bc264-bc500</v>
      </c>
      <c r="E1129" s="46" t="str">
        <f aca="true">OFFSET(plates!$B$116,CODE(LEFT(B1129,1))-64,MID(B1129,2,3)+0)&amp;""</f>
        <v/>
      </c>
      <c r="F1129" s="46"/>
      <c r="G1129" s="47"/>
      <c r="H1129" s="47"/>
    </row>
    <row r="1130" customFormat="false" ht="12.8" hidden="false" customHeight="false" outlineLevel="0" collapsed="false">
      <c r="A1130" s="44" t="n">
        <v>12</v>
      </c>
      <c r="B1130" s="44" t="s">
        <v>230</v>
      </c>
      <c r="C1130" s="44" t="s">
        <v>158</v>
      </c>
      <c r="D1130" s="45" t="str">
        <f aca="true">OFFSET(plates!$B$116,CODE(LEFT(B1130,1))-64,-1)&amp;"-"&amp;OFFSET(plates!$B$106,-1,MID(B1130,2,3)+0)</f>
        <v>bc168-bc508</v>
      </c>
      <c r="E1130" s="46" t="str">
        <f aca="true">OFFSET(plates!$B$116,CODE(LEFT(B1130,1))-64,MID(B1130,2,3)+0)&amp;""</f>
        <v/>
      </c>
      <c r="F1130" s="46"/>
      <c r="G1130" s="47"/>
      <c r="H1130" s="47"/>
    </row>
    <row r="1131" customFormat="false" ht="12.8" hidden="false" customHeight="false" outlineLevel="0" collapsed="false">
      <c r="A1131" s="44" t="n">
        <v>12</v>
      </c>
      <c r="B1131" s="44" t="s">
        <v>231</v>
      </c>
      <c r="C1131" s="44" t="s">
        <v>158</v>
      </c>
      <c r="D1131" s="45" t="str">
        <f aca="true">OFFSET(plates!$B$116,CODE(LEFT(B1131,1))-64,-1)&amp;"-"&amp;OFFSET(plates!$B$106,-1,MID(B1131,2,3)+0)</f>
        <v>bc183-bc508</v>
      </c>
      <c r="E1131" s="46" t="str">
        <f aca="true">OFFSET(plates!$B$116,CODE(LEFT(B1131,1))-64,MID(B1131,2,3)+0)&amp;""</f>
        <v/>
      </c>
      <c r="F1131" s="46"/>
      <c r="G1131" s="47"/>
      <c r="H1131" s="47"/>
    </row>
    <row r="1132" customFormat="false" ht="12.8" hidden="false" customHeight="false" outlineLevel="0" collapsed="false">
      <c r="A1132" s="44" t="n">
        <v>12</v>
      </c>
      <c r="B1132" s="44" t="s">
        <v>232</v>
      </c>
      <c r="C1132" s="44" t="s">
        <v>158</v>
      </c>
      <c r="D1132" s="45" t="str">
        <f aca="true">OFFSET(plates!$B$116,CODE(LEFT(B1132,1))-64,-1)&amp;"-"&amp;OFFSET(plates!$B$106,-1,MID(B1132,2,3)+0)</f>
        <v>bc192-bc508</v>
      </c>
      <c r="E1132" s="46" t="str">
        <f aca="true">OFFSET(plates!$B$116,CODE(LEFT(B1132,1))-64,MID(B1132,2,3)+0)&amp;""</f>
        <v/>
      </c>
      <c r="F1132" s="46"/>
      <c r="G1132" s="47"/>
      <c r="H1132" s="47"/>
    </row>
    <row r="1133" s="48" customFormat="true" ht="12.8" hidden="false" customHeight="false" outlineLevel="0" collapsed="false">
      <c r="A1133" s="44" t="n">
        <v>12</v>
      </c>
      <c r="B1133" s="44" t="s">
        <v>233</v>
      </c>
      <c r="C1133" s="44" t="s">
        <v>158</v>
      </c>
      <c r="D1133" s="45" t="str">
        <f aca="true">OFFSET(plates!$B$116,CODE(LEFT(B1133,1))-64,-1)&amp;"-"&amp;OFFSET(plates!$B$106,-1,MID(B1133,2,3)+0)</f>
        <v>bc205-bc508</v>
      </c>
      <c r="E1133" s="46" t="str">
        <f aca="true">OFFSET(plates!$B$116,CODE(LEFT(B1133,1))-64,MID(B1133,2,3)+0)&amp;""</f>
        <v/>
      </c>
      <c r="F1133" s="46"/>
      <c r="G1133" s="47"/>
      <c r="H1133" s="47"/>
      <c r="I1133" s="36"/>
      <c r="J1133" s="36"/>
      <c r="K1133" s="36"/>
      <c r="L1133" s="36"/>
      <c r="M1133" s="36"/>
    </row>
    <row r="1134" customFormat="false" ht="12.8" hidden="false" customHeight="false" outlineLevel="0" collapsed="false">
      <c r="A1134" s="44" t="n">
        <v>12</v>
      </c>
      <c r="B1134" s="44" t="s">
        <v>234</v>
      </c>
      <c r="C1134" s="44" t="s">
        <v>158</v>
      </c>
      <c r="D1134" s="45" t="str">
        <f aca="true">OFFSET(plates!$B$116,CODE(LEFT(B1134,1))-64,-1)&amp;"-"&amp;OFFSET(plates!$B$106,-1,MID(B1134,2,3)+0)</f>
        <v>bc219-bc508</v>
      </c>
      <c r="E1134" s="46" t="str">
        <f aca="true">OFFSET(plates!$B$116,CODE(LEFT(B1134,1))-64,MID(B1134,2,3)+0)&amp;""</f>
        <v/>
      </c>
      <c r="F1134" s="46"/>
      <c r="G1134" s="47"/>
      <c r="H1134" s="47"/>
    </row>
    <row r="1135" customFormat="false" ht="12.8" hidden="false" customHeight="false" outlineLevel="0" collapsed="false">
      <c r="A1135" s="44" t="n">
        <v>12</v>
      </c>
      <c r="B1135" s="44" t="s">
        <v>235</v>
      </c>
      <c r="C1135" s="44" t="s">
        <v>158</v>
      </c>
      <c r="D1135" s="45" t="str">
        <f aca="true">OFFSET(plates!$B$116,CODE(LEFT(B1135,1))-64,-1)&amp;"-"&amp;OFFSET(plates!$B$106,-1,MID(B1135,2,3)+0)</f>
        <v>bc220-bc508</v>
      </c>
      <c r="E1135" s="46" t="str">
        <f aca="true">OFFSET(plates!$B$116,CODE(LEFT(B1135,1))-64,MID(B1135,2,3)+0)&amp;""</f>
        <v/>
      </c>
      <c r="F1135" s="46"/>
      <c r="G1135" s="47"/>
      <c r="H1135" s="47"/>
    </row>
    <row r="1136" customFormat="false" ht="12.8" hidden="false" customHeight="false" outlineLevel="0" collapsed="false">
      <c r="A1136" s="44" t="n">
        <v>12</v>
      </c>
      <c r="B1136" s="44" t="s">
        <v>236</v>
      </c>
      <c r="C1136" s="44" t="s">
        <v>158</v>
      </c>
      <c r="D1136" s="45" t="str">
        <f aca="true">OFFSET(plates!$B$116,CODE(LEFT(B1136,1))-64,-1)&amp;"-"&amp;OFFSET(plates!$B$106,-1,MID(B1136,2,3)+0)</f>
        <v>bc258-bc508</v>
      </c>
      <c r="E1136" s="46" t="str">
        <f aca="true">OFFSET(plates!$B$116,CODE(LEFT(B1136,1))-64,MID(B1136,2,3)+0)&amp;""</f>
        <v/>
      </c>
      <c r="F1136" s="46"/>
      <c r="G1136" s="47"/>
      <c r="H1136" s="47"/>
    </row>
    <row r="1137" customFormat="false" ht="12.8" hidden="false" customHeight="false" outlineLevel="0" collapsed="false">
      <c r="A1137" s="44" t="n">
        <v>12</v>
      </c>
      <c r="B1137" s="44" t="s">
        <v>237</v>
      </c>
      <c r="C1137" s="44" t="s">
        <v>158</v>
      </c>
      <c r="D1137" s="45" t="str">
        <f aca="true">OFFSET(plates!$B$116,CODE(LEFT(B1137,1))-64,-1)&amp;"-"&amp;OFFSET(plates!$B$106,-1,MID(B1137,2,3)+0)</f>
        <v>bc264-bc508</v>
      </c>
      <c r="E1137" s="46" t="str">
        <f aca="true">OFFSET(plates!$B$116,CODE(LEFT(B1137,1))-64,MID(B1137,2,3)+0)&amp;""</f>
        <v/>
      </c>
      <c r="F1137" s="46"/>
      <c r="G1137" s="47"/>
      <c r="H1137" s="47"/>
    </row>
    <row r="1138" customFormat="false" ht="12.8" hidden="false" customHeight="false" outlineLevel="0" collapsed="false">
      <c r="A1138" s="44" t="n">
        <v>12</v>
      </c>
      <c r="B1138" s="44" t="s">
        <v>238</v>
      </c>
      <c r="C1138" s="44" t="s">
        <v>158</v>
      </c>
      <c r="D1138" s="45" t="str">
        <f aca="true">OFFSET(plates!$B$116,CODE(LEFT(B1138,1))-64,-1)&amp;"-"&amp;OFFSET(plates!$B$106,-1,MID(B1138,2,3)+0)</f>
        <v>bc168-bc516</v>
      </c>
      <c r="E1138" s="46" t="str">
        <f aca="true">OFFSET(plates!$B$116,CODE(LEFT(B1138,1))-64,MID(B1138,2,3)+0)&amp;""</f>
        <v/>
      </c>
      <c r="F1138" s="46"/>
      <c r="G1138" s="47"/>
      <c r="H1138" s="47"/>
    </row>
    <row r="1139" customFormat="false" ht="12.8" hidden="false" customHeight="false" outlineLevel="0" collapsed="false">
      <c r="A1139" s="44" t="n">
        <v>12</v>
      </c>
      <c r="B1139" s="44" t="s">
        <v>239</v>
      </c>
      <c r="C1139" s="44" t="s">
        <v>158</v>
      </c>
      <c r="D1139" s="45" t="str">
        <f aca="true">OFFSET(plates!$B$116,CODE(LEFT(B1139,1))-64,-1)&amp;"-"&amp;OFFSET(plates!$B$106,-1,MID(B1139,2,3)+0)</f>
        <v>bc183-bc516</v>
      </c>
      <c r="E1139" s="46" t="str">
        <f aca="true">OFFSET(plates!$B$116,CODE(LEFT(B1139,1))-64,MID(B1139,2,3)+0)&amp;""</f>
        <v/>
      </c>
      <c r="F1139" s="46"/>
      <c r="G1139" s="47"/>
      <c r="H1139" s="47"/>
    </row>
    <row r="1140" customFormat="false" ht="12.8" hidden="false" customHeight="false" outlineLevel="0" collapsed="false">
      <c r="A1140" s="44" t="n">
        <v>12</v>
      </c>
      <c r="B1140" s="44" t="s">
        <v>240</v>
      </c>
      <c r="C1140" s="44" t="s">
        <v>158</v>
      </c>
      <c r="D1140" s="45" t="str">
        <f aca="true">OFFSET(plates!$B$116,CODE(LEFT(B1140,1))-64,-1)&amp;"-"&amp;OFFSET(plates!$B$106,-1,MID(B1140,2,3)+0)</f>
        <v>bc192-bc516</v>
      </c>
      <c r="E1140" s="46" t="str">
        <f aca="true">OFFSET(plates!$B$116,CODE(LEFT(B1140,1))-64,MID(B1140,2,3)+0)&amp;""</f>
        <v/>
      </c>
      <c r="F1140" s="46"/>
      <c r="G1140" s="47"/>
      <c r="H1140" s="47"/>
    </row>
    <row r="1141" customFormat="false" ht="12.8" hidden="false" customHeight="false" outlineLevel="0" collapsed="false">
      <c r="A1141" s="44" t="n">
        <v>12</v>
      </c>
      <c r="B1141" s="44" t="s">
        <v>241</v>
      </c>
      <c r="C1141" s="44" t="s">
        <v>158</v>
      </c>
      <c r="D1141" s="45" t="str">
        <f aca="true">OFFSET(plates!$B$116,CODE(LEFT(B1141,1))-64,-1)&amp;"-"&amp;OFFSET(plates!$B$106,-1,MID(B1141,2,3)+0)</f>
        <v>bc205-bc516</v>
      </c>
      <c r="E1141" s="46" t="str">
        <f aca="true">OFFSET(plates!$B$116,CODE(LEFT(B1141,1))-64,MID(B1141,2,3)+0)&amp;""</f>
        <v/>
      </c>
      <c r="F1141" s="46"/>
      <c r="G1141" s="47"/>
      <c r="H1141" s="47"/>
    </row>
    <row r="1142" customFormat="false" ht="12.8" hidden="false" customHeight="false" outlineLevel="0" collapsed="false">
      <c r="A1142" s="44" t="n">
        <v>12</v>
      </c>
      <c r="B1142" s="44" t="s">
        <v>242</v>
      </c>
      <c r="C1142" s="44" t="s">
        <v>158</v>
      </c>
      <c r="D1142" s="45" t="str">
        <f aca="true">OFFSET(plates!$B$116,CODE(LEFT(B1142,1))-64,-1)&amp;"-"&amp;OFFSET(plates!$B$106,-1,MID(B1142,2,3)+0)</f>
        <v>bc219-bc516</v>
      </c>
      <c r="E1142" s="46" t="str">
        <f aca="true">OFFSET(plates!$B$116,CODE(LEFT(B1142,1))-64,MID(B1142,2,3)+0)&amp;""</f>
        <v/>
      </c>
      <c r="F1142" s="46"/>
      <c r="G1142" s="47"/>
      <c r="H1142" s="47"/>
    </row>
    <row r="1143" customFormat="false" ht="12.8" hidden="false" customHeight="false" outlineLevel="0" collapsed="false">
      <c r="A1143" s="44" t="n">
        <v>12</v>
      </c>
      <c r="B1143" s="44" t="s">
        <v>243</v>
      </c>
      <c r="C1143" s="44" t="s">
        <v>158</v>
      </c>
      <c r="D1143" s="45" t="str">
        <f aca="true">OFFSET(plates!$B$116,CODE(LEFT(B1143,1))-64,-1)&amp;"-"&amp;OFFSET(plates!$B$106,-1,MID(B1143,2,3)+0)</f>
        <v>bc220-bc516</v>
      </c>
      <c r="E1143" s="46" t="str">
        <f aca="true">OFFSET(plates!$B$116,CODE(LEFT(B1143,1))-64,MID(B1143,2,3)+0)&amp;""</f>
        <v/>
      </c>
      <c r="F1143" s="46"/>
      <c r="G1143" s="47"/>
      <c r="H1143" s="47"/>
    </row>
    <row r="1144" customFormat="false" ht="12.8" hidden="false" customHeight="false" outlineLevel="0" collapsed="false">
      <c r="A1144" s="44" t="n">
        <v>12</v>
      </c>
      <c r="B1144" s="44" t="s">
        <v>244</v>
      </c>
      <c r="C1144" s="44" t="s">
        <v>158</v>
      </c>
      <c r="D1144" s="45" t="str">
        <f aca="true">OFFSET(plates!$B$116,CODE(LEFT(B1144,1))-64,-1)&amp;"-"&amp;OFFSET(plates!$B$106,-1,MID(B1144,2,3)+0)</f>
        <v>bc258-bc516</v>
      </c>
      <c r="E1144" s="46" t="str">
        <f aca="true">OFFSET(plates!$B$116,CODE(LEFT(B1144,1))-64,MID(B1144,2,3)+0)&amp;""</f>
        <v/>
      </c>
      <c r="F1144" s="46"/>
      <c r="G1144" s="47"/>
      <c r="H1144" s="47"/>
    </row>
    <row r="1145" customFormat="false" ht="12.8" hidden="false" customHeight="false" outlineLevel="0" collapsed="false">
      <c r="A1145" s="44" t="n">
        <v>12</v>
      </c>
      <c r="B1145" s="44" t="s">
        <v>245</v>
      </c>
      <c r="C1145" s="44" t="s">
        <v>158</v>
      </c>
      <c r="D1145" s="45" t="str">
        <f aca="true">OFFSET(plates!$B$116,CODE(LEFT(B1145,1))-64,-1)&amp;"-"&amp;OFFSET(plates!$B$106,-1,MID(B1145,2,3)+0)</f>
        <v>bc264-bc516</v>
      </c>
      <c r="E1145" s="46" t="str">
        <f aca="true">OFFSET(plates!$B$116,CODE(LEFT(B1145,1))-64,MID(B1145,2,3)+0)&amp;""</f>
        <v/>
      </c>
      <c r="F1145" s="46"/>
      <c r="G1145" s="47"/>
      <c r="H1145" s="47"/>
    </row>
    <row r="1146" customFormat="false" ht="12.8" hidden="false" customHeight="false" outlineLevel="0" collapsed="false">
      <c r="A1146" s="44" t="n">
        <v>12</v>
      </c>
      <c r="B1146" s="44" t="s">
        <v>246</v>
      </c>
      <c r="C1146" s="44" t="s">
        <v>158</v>
      </c>
      <c r="D1146" s="45" t="str">
        <f aca="true">OFFSET(plates!$B$116,CODE(LEFT(B1146,1))-64,-1)&amp;"-"&amp;OFFSET(plates!$B$106,-1,MID(B1146,2,3)+0)</f>
        <v>bc168-bc538</v>
      </c>
      <c r="E1146" s="46" t="str">
        <f aca="true">OFFSET(plates!$B$116,CODE(LEFT(B1146,1))-64,MID(B1146,2,3)+0)&amp;""</f>
        <v/>
      </c>
      <c r="F1146" s="46"/>
      <c r="G1146" s="47"/>
      <c r="H1146" s="47"/>
    </row>
    <row r="1147" customFormat="false" ht="12.8" hidden="false" customHeight="false" outlineLevel="0" collapsed="false">
      <c r="A1147" s="44" t="n">
        <v>12</v>
      </c>
      <c r="B1147" s="44" t="s">
        <v>247</v>
      </c>
      <c r="C1147" s="44" t="s">
        <v>158</v>
      </c>
      <c r="D1147" s="45" t="str">
        <f aca="true">OFFSET(plates!$B$116,CODE(LEFT(B1147,1))-64,-1)&amp;"-"&amp;OFFSET(plates!$B$106,-1,MID(B1147,2,3)+0)</f>
        <v>bc183-bc538</v>
      </c>
      <c r="E1147" s="46" t="str">
        <f aca="true">OFFSET(plates!$B$116,CODE(LEFT(B1147,1))-64,MID(B1147,2,3)+0)&amp;""</f>
        <v/>
      </c>
      <c r="F1147" s="46"/>
      <c r="G1147" s="47"/>
      <c r="H1147" s="47"/>
    </row>
    <row r="1148" customFormat="false" ht="12.8" hidden="false" customHeight="false" outlineLevel="0" collapsed="false">
      <c r="A1148" s="44" t="n">
        <v>12</v>
      </c>
      <c r="B1148" s="44" t="s">
        <v>248</v>
      </c>
      <c r="C1148" s="44" t="s">
        <v>158</v>
      </c>
      <c r="D1148" s="45" t="str">
        <f aca="true">OFFSET(plates!$B$116,CODE(LEFT(B1148,1))-64,-1)&amp;"-"&amp;OFFSET(plates!$B$106,-1,MID(B1148,2,3)+0)</f>
        <v>bc192-bc538</v>
      </c>
      <c r="E1148" s="46" t="str">
        <f aca="true">OFFSET(plates!$B$116,CODE(LEFT(B1148,1))-64,MID(B1148,2,3)+0)&amp;""</f>
        <v/>
      </c>
      <c r="F1148" s="46"/>
      <c r="G1148" s="47"/>
      <c r="H1148" s="47"/>
    </row>
    <row r="1149" customFormat="false" ht="12.8" hidden="false" customHeight="false" outlineLevel="0" collapsed="false">
      <c r="A1149" s="44" t="n">
        <v>12</v>
      </c>
      <c r="B1149" s="44" t="s">
        <v>249</v>
      </c>
      <c r="C1149" s="44" t="s">
        <v>158</v>
      </c>
      <c r="D1149" s="45" t="str">
        <f aca="true">OFFSET(plates!$B$116,CODE(LEFT(B1149,1))-64,-1)&amp;"-"&amp;OFFSET(plates!$B$106,-1,MID(B1149,2,3)+0)</f>
        <v>bc205-bc538</v>
      </c>
      <c r="E1149" s="46" t="str">
        <f aca="true">OFFSET(plates!$B$116,CODE(LEFT(B1149,1))-64,MID(B1149,2,3)+0)&amp;""</f>
        <v/>
      </c>
      <c r="F1149" s="46"/>
      <c r="G1149" s="47"/>
      <c r="H1149" s="47"/>
    </row>
    <row r="1150" customFormat="false" ht="12.8" hidden="false" customHeight="false" outlineLevel="0" collapsed="false">
      <c r="A1150" s="44" t="n">
        <v>12</v>
      </c>
      <c r="B1150" s="44" t="s">
        <v>250</v>
      </c>
      <c r="C1150" s="44" t="s">
        <v>158</v>
      </c>
      <c r="D1150" s="45" t="str">
        <f aca="true">OFFSET(plates!$B$116,CODE(LEFT(B1150,1))-64,-1)&amp;"-"&amp;OFFSET(plates!$B$106,-1,MID(B1150,2,3)+0)</f>
        <v>bc219-bc538</v>
      </c>
      <c r="E1150" s="46" t="str">
        <f aca="true">OFFSET(plates!$B$116,CODE(LEFT(B1150,1))-64,MID(B1150,2,3)+0)&amp;""</f>
        <v/>
      </c>
      <c r="F1150" s="46"/>
      <c r="G1150" s="47"/>
      <c r="H1150" s="47"/>
    </row>
    <row r="1151" customFormat="false" ht="12.8" hidden="false" customHeight="false" outlineLevel="0" collapsed="false">
      <c r="A1151" s="44" t="n">
        <v>12</v>
      </c>
      <c r="B1151" s="44" t="s">
        <v>251</v>
      </c>
      <c r="C1151" s="44" t="s">
        <v>158</v>
      </c>
      <c r="D1151" s="45" t="str">
        <f aca="true">OFFSET(plates!$B$116,CODE(LEFT(B1151,1))-64,-1)&amp;"-"&amp;OFFSET(plates!$B$106,-1,MID(B1151,2,3)+0)</f>
        <v>bc220-bc538</v>
      </c>
      <c r="E1151" s="46" t="str">
        <f aca="true">OFFSET(plates!$B$116,CODE(LEFT(B1151,1))-64,MID(B1151,2,3)+0)&amp;""</f>
        <v/>
      </c>
      <c r="F1151" s="46"/>
      <c r="G1151" s="47"/>
      <c r="H1151" s="47"/>
      <c r="I1151" s="36"/>
      <c r="J1151" s="36"/>
      <c r="K1151" s="36"/>
      <c r="L1151" s="36"/>
      <c r="M1151" s="36"/>
    </row>
    <row r="1152" customFormat="false" ht="12.8" hidden="false" customHeight="false" outlineLevel="0" collapsed="false">
      <c r="A1152" s="44" t="n">
        <v>12</v>
      </c>
      <c r="B1152" s="44" t="s">
        <v>252</v>
      </c>
      <c r="C1152" s="44" t="s">
        <v>158</v>
      </c>
      <c r="D1152" s="45" t="str">
        <f aca="true">OFFSET(plates!$B$116,CODE(LEFT(B1152,1))-64,-1)&amp;"-"&amp;OFFSET(plates!$B$106,-1,MID(B1152,2,3)+0)</f>
        <v>bc258-bc538</v>
      </c>
      <c r="E1152" s="46" t="str">
        <f aca="true">OFFSET(plates!$B$116,CODE(LEFT(B1152,1))-64,MID(B1152,2,3)+0)&amp;""</f>
        <v/>
      </c>
      <c r="F1152" s="46"/>
      <c r="G1152" s="47"/>
      <c r="H1152" s="47"/>
    </row>
    <row r="1153" customFormat="false" ht="12.8" hidden="false" customHeight="false" outlineLevel="0" collapsed="false">
      <c r="A1153" s="44" t="n">
        <v>12</v>
      </c>
      <c r="B1153" s="44" t="s">
        <v>253</v>
      </c>
      <c r="C1153" s="44" t="s">
        <v>158</v>
      </c>
      <c r="D1153" s="45" t="str">
        <f aca="true">OFFSET(plates!$B$116,CODE(LEFT(B1153,1))-64,-1)&amp;"-"&amp;OFFSET(plates!$B$106,-1,MID(B1153,2,3)+0)</f>
        <v>bc264-bc538</v>
      </c>
      <c r="E1153" s="46" t="str">
        <f aca="true">OFFSET(plates!$B$116,CODE(LEFT(B1153,1))-64,MID(B1153,2,3)+0)&amp;""</f>
        <v/>
      </c>
      <c r="F1153" s="46"/>
      <c r="G1153" s="47"/>
      <c r="H1153" s="47"/>
      <c r="I1153" s="36"/>
      <c r="J1153" s="36"/>
      <c r="K1153" s="36"/>
    </row>
    <row r="1154" customFormat="false" ht="12.8" hidden="false" customHeight="false" outlineLevel="0" collapsed="false">
      <c r="A1154" s="44" t="n">
        <v>13</v>
      </c>
      <c r="B1154" s="44" t="s">
        <v>157</v>
      </c>
      <c r="C1154" s="44" t="s">
        <v>158</v>
      </c>
      <c r="D1154" s="45" t="str">
        <f aca="true">OFFSET(plates!$B$126,CODE(LEFT(B1154,1))-64,-1)&amp;"-"&amp;OFFSET(plates!$B$106,-1,MID(B1154,2,3)+0)</f>
        <v>bc272-bc411</v>
      </c>
      <c r="E1154" s="46" t="str">
        <f aca="true">OFFSET(plates!$B$126,CODE(LEFT(B1154,1))-64,MID(B1154,2,3)+0)&amp;""</f>
        <v/>
      </c>
      <c r="F1154" s="46"/>
      <c r="G1154" s="47"/>
      <c r="H1154" s="47"/>
    </row>
    <row r="1155" customFormat="false" ht="12.8" hidden="false" customHeight="false" outlineLevel="0" collapsed="false">
      <c r="A1155" s="44" t="n">
        <v>13</v>
      </c>
      <c r="B1155" s="44" t="s">
        <v>159</v>
      </c>
      <c r="C1155" s="44" t="s">
        <v>158</v>
      </c>
      <c r="D1155" s="45" t="str">
        <f aca="true">OFFSET(plates!$B$126,CODE(LEFT(B1155,1))-64,-1)&amp;"-"&amp;OFFSET(plates!$B$106,-1,MID(B1155,2,3)+0)</f>
        <v>bc277-bc411</v>
      </c>
      <c r="E1155" s="46" t="str">
        <f aca="true">OFFSET(plates!$B$126,CODE(LEFT(B1155,1))-64,MID(B1155,2,3)+0)&amp;""</f>
        <v/>
      </c>
      <c r="F1155" s="46"/>
      <c r="G1155" s="47"/>
      <c r="H1155" s="47"/>
    </row>
    <row r="1156" customFormat="false" ht="12.8" hidden="false" customHeight="false" outlineLevel="0" collapsed="false">
      <c r="A1156" s="44" t="n">
        <v>13</v>
      </c>
      <c r="B1156" s="44" t="s">
        <v>160</v>
      </c>
      <c r="C1156" s="44" t="s">
        <v>158</v>
      </c>
      <c r="D1156" s="45" t="str">
        <f aca="true">OFFSET(plates!$B$126,CODE(LEFT(B1156,1))-64,-1)&amp;"-"&amp;OFFSET(plates!$B$106,-1,MID(B1156,2,3)+0)</f>
        <v>bc282-bc411</v>
      </c>
      <c r="E1156" s="46" t="str">
        <f aca="true">OFFSET(plates!$B$126,CODE(LEFT(B1156,1))-64,MID(B1156,2,3)+0)&amp;""</f>
        <v/>
      </c>
      <c r="F1156" s="46"/>
      <c r="G1156" s="47"/>
      <c r="H1156" s="47"/>
    </row>
    <row r="1157" customFormat="false" ht="12.8" hidden="false" customHeight="false" outlineLevel="0" collapsed="false">
      <c r="A1157" s="44" t="n">
        <v>13</v>
      </c>
      <c r="B1157" s="44" t="s">
        <v>161</v>
      </c>
      <c r="C1157" s="44" t="s">
        <v>158</v>
      </c>
      <c r="D1157" s="45" t="str">
        <f aca="true">OFFSET(plates!$B$126,CODE(LEFT(B1157,1))-64,-1)&amp;"-"&amp;OFFSET(plates!$B$106,-1,MID(B1157,2,3)+0)</f>
        <v>bc286-bc411</v>
      </c>
      <c r="E1157" s="46" t="str">
        <f aca="true">OFFSET(plates!$B$126,CODE(LEFT(B1157,1))-64,MID(B1157,2,3)+0)&amp;""</f>
        <v/>
      </c>
      <c r="F1157" s="46"/>
      <c r="G1157" s="47"/>
      <c r="H1157" s="47"/>
    </row>
    <row r="1158" customFormat="false" ht="12.8" hidden="false" customHeight="false" outlineLevel="0" collapsed="false">
      <c r="A1158" s="44" t="n">
        <v>13</v>
      </c>
      <c r="B1158" s="44" t="s">
        <v>162</v>
      </c>
      <c r="C1158" s="44" t="s">
        <v>158</v>
      </c>
      <c r="D1158" s="45" t="str">
        <f aca="true">OFFSET(plates!$B$126,CODE(LEFT(B1158,1))-64,-1)&amp;"-"&amp;OFFSET(plates!$B$106,-1,MID(B1158,2,3)+0)</f>
        <v>bc298-bc411</v>
      </c>
      <c r="E1158" s="46" t="str">
        <f aca="true">OFFSET(plates!$B$126,CODE(LEFT(B1158,1))-64,MID(B1158,2,3)+0)&amp;""</f>
        <v/>
      </c>
      <c r="F1158" s="46"/>
      <c r="G1158" s="47"/>
      <c r="H1158" s="47"/>
    </row>
    <row r="1159" customFormat="false" ht="12.8" hidden="false" customHeight="false" outlineLevel="0" collapsed="false">
      <c r="A1159" s="44" t="n">
        <v>13</v>
      </c>
      <c r="B1159" s="44" t="s">
        <v>163</v>
      </c>
      <c r="C1159" s="44" t="s">
        <v>158</v>
      </c>
      <c r="D1159" s="45" t="str">
        <f aca="true">OFFSET(plates!$B$126,CODE(LEFT(B1159,1))-64,-1)&amp;"-"&amp;OFFSET(plates!$B$106,-1,MID(B1159,2,3)+0)</f>
        <v>bc314-bc411</v>
      </c>
      <c r="E1159" s="46" t="str">
        <f aca="true">OFFSET(plates!$B$126,CODE(LEFT(B1159,1))-64,MID(B1159,2,3)+0)&amp;""</f>
        <v/>
      </c>
      <c r="F1159" s="46"/>
      <c r="G1159" s="47"/>
      <c r="H1159" s="47"/>
    </row>
    <row r="1160" customFormat="false" ht="12.8" hidden="false" customHeight="false" outlineLevel="0" collapsed="false">
      <c r="A1160" s="44" t="n">
        <v>13</v>
      </c>
      <c r="B1160" s="44" t="s">
        <v>164</v>
      </c>
      <c r="C1160" s="44" t="s">
        <v>158</v>
      </c>
      <c r="D1160" s="45" t="str">
        <f aca="true">OFFSET(plates!$B$126,CODE(LEFT(B1160,1))-64,-1)&amp;"-"&amp;OFFSET(plates!$B$106,-1,MID(B1160,2,3)+0)</f>
        <v>bc321-bc411</v>
      </c>
      <c r="E1160" s="46" t="str">
        <f aca="true">OFFSET(plates!$B$126,CODE(LEFT(B1160,1))-64,MID(B1160,2,3)+0)&amp;""</f>
        <v/>
      </c>
      <c r="F1160" s="46"/>
      <c r="G1160" s="47"/>
      <c r="H1160" s="47"/>
    </row>
    <row r="1161" customFormat="false" ht="12.8" hidden="false" customHeight="false" outlineLevel="0" collapsed="false">
      <c r="A1161" s="44" t="n">
        <v>13</v>
      </c>
      <c r="B1161" s="44" t="s">
        <v>165</v>
      </c>
      <c r="C1161" s="44" t="s">
        <v>158</v>
      </c>
      <c r="D1161" s="45" t="str">
        <f aca="true">OFFSET(plates!$B$126,CODE(LEFT(B1161,1))-64,-1)&amp;"-"&amp;OFFSET(plates!$B$106,-1,MID(B1161,2,3)+0)</f>
        <v>bc324-bc411</v>
      </c>
      <c r="E1161" s="46" t="str">
        <f aca="true">OFFSET(plates!$B$126,CODE(LEFT(B1161,1))-64,MID(B1161,2,3)+0)&amp;""</f>
        <v/>
      </c>
      <c r="F1161" s="46"/>
      <c r="G1161" s="47"/>
      <c r="H1161" s="47"/>
    </row>
    <row r="1162" customFormat="false" ht="12.8" hidden="false" customHeight="false" outlineLevel="0" collapsed="false">
      <c r="A1162" s="44" t="n">
        <v>13</v>
      </c>
      <c r="B1162" s="44" t="s">
        <v>166</v>
      </c>
      <c r="C1162" s="44" t="s">
        <v>158</v>
      </c>
      <c r="D1162" s="45" t="str">
        <f aca="true">OFFSET(plates!$B$126,CODE(LEFT(B1162,1))-64,-1)&amp;"-"&amp;OFFSET(plates!$B$106,-1,MID(B1162,2,3)+0)</f>
        <v>bc272-bc413</v>
      </c>
      <c r="E1162" s="46" t="str">
        <f aca="true">OFFSET(plates!$B$126,CODE(LEFT(B1162,1))-64,MID(B1162,2,3)+0)&amp;""</f>
        <v/>
      </c>
      <c r="F1162" s="46"/>
      <c r="G1162" s="47"/>
      <c r="H1162" s="47"/>
    </row>
    <row r="1163" customFormat="false" ht="12.8" hidden="false" customHeight="false" outlineLevel="0" collapsed="false">
      <c r="A1163" s="44" t="n">
        <v>13</v>
      </c>
      <c r="B1163" s="44" t="s">
        <v>167</v>
      </c>
      <c r="C1163" s="44" t="s">
        <v>158</v>
      </c>
      <c r="D1163" s="45" t="str">
        <f aca="true">OFFSET(plates!$B$126,CODE(LEFT(B1163,1))-64,-1)&amp;"-"&amp;OFFSET(plates!$B$106,-1,MID(B1163,2,3)+0)</f>
        <v>bc277-bc413</v>
      </c>
      <c r="E1163" s="46" t="str">
        <f aca="true">OFFSET(plates!$B$126,CODE(LEFT(B1163,1))-64,MID(B1163,2,3)+0)&amp;""</f>
        <v/>
      </c>
      <c r="F1163" s="46"/>
      <c r="G1163" s="47"/>
      <c r="H1163" s="47"/>
    </row>
    <row r="1164" customFormat="false" ht="12.8" hidden="false" customHeight="false" outlineLevel="0" collapsed="false">
      <c r="A1164" s="44" t="n">
        <v>13</v>
      </c>
      <c r="B1164" s="44" t="s">
        <v>168</v>
      </c>
      <c r="C1164" s="44" t="s">
        <v>158</v>
      </c>
      <c r="D1164" s="45" t="str">
        <f aca="true">OFFSET(plates!$B$126,CODE(LEFT(B1164,1))-64,-1)&amp;"-"&amp;OFFSET(plates!$B$106,-1,MID(B1164,2,3)+0)</f>
        <v>bc282-bc413</v>
      </c>
      <c r="E1164" s="46" t="str">
        <f aca="true">OFFSET(plates!$B$126,CODE(LEFT(B1164,1))-64,MID(B1164,2,3)+0)&amp;""</f>
        <v/>
      </c>
      <c r="F1164" s="46"/>
      <c r="G1164" s="47"/>
      <c r="H1164" s="47"/>
    </row>
    <row r="1165" customFormat="false" ht="12.8" hidden="false" customHeight="false" outlineLevel="0" collapsed="false">
      <c r="A1165" s="44" t="n">
        <v>13</v>
      </c>
      <c r="B1165" s="44" t="s">
        <v>169</v>
      </c>
      <c r="C1165" s="44" t="s">
        <v>158</v>
      </c>
      <c r="D1165" s="45" t="str">
        <f aca="true">OFFSET(plates!$B$126,CODE(LEFT(B1165,1))-64,-1)&amp;"-"&amp;OFFSET(plates!$B$106,-1,MID(B1165,2,3)+0)</f>
        <v>bc286-bc413</v>
      </c>
      <c r="E1165" s="46" t="str">
        <f aca="true">OFFSET(plates!$B$126,CODE(LEFT(B1165,1))-64,MID(B1165,2,3)+0)&amp;""</f>
        <v/>
      </c>
      <c r="F1165" s="46"/>
      <c r="G1165" s="47"/>
      <c r="H1165" s="47"/>
    </row>
    <row r="1166" customFormat="false" ht="12.8" hidden="false" customHeight="false" outlineLevel="0" collapsed="false">
      <c r="A1166" s="44" t="n">
        <v>13</v>
      </c>
      <c r="B1166" s="44" t="s">
        <v>170</v>
      </c>
      <c r="C1166" s="44" t="s">
        <v>158</v>
      </c>
      <c r="D1166" s="45" t="str">
        <f aca="true">OFFSET(plates!$B$126,CODE(LEFT(B1166,1))-64,-1)&amp;"-"&amp;OFFSET(plates!$B$106,-1,MID(B1166,2,3)+0)</f>
        <v>bc298-bc413</v>
      </c>
      <c r="E1166" s="46" t="str">
        <f aca="true">OFFSET(plates!$B$126,CODE(LEFT(B1166,1))-64,MID(B1166,2,3)+0)&amp;""</f>
        <v/>
      </c>
      <c r="F1166" s="46"/>
      <c r="G1166" s="47"/>
      <c r="H1166" s="47"/>
    </row>
    <row r="1167" customFormat="false" ht="12.8" hidden="false" customHeight="false" outlineLevel="0" collapsed="false">
      <c r="A1167" s="44" t="n">
        <v>13</v>
      </c>
      <c r="B1167" s="44" t="s">
        <v>171</v>
      </c>
      <c r="C1167" s="44" t="s">
        <v>158</v>
      </c>
      <c r="D1167" s="45" t="str">
        <f aca="true">OFFSET(plates!$B$126,CODE(LEFT(B1167,1))-64,-1)&amp;"-"&amp;OFFSET(plates!$B$106,-1,MID(B1167,2,3)+0)</f>
        <v>bc314-bc413</v>
      </c>
      <c r="E1167" s="46" t="str">
        <f aca="true">OFFSET(plates!$B$126,CODE(LEFT(B1167,1))-64,MID(B1167,2,3)+0)&amp;""</f>
        <v/>
      </c>
      <c r="F1167" s="46"/>
      <c r="G1167" s="47"/>
      <c r="H1167" s="47"/>
    </row>
    <row r="1168" customFormat="false" ht="12.8" hidden="false" customHeight="false" outlineLevel="0" collapsed="false">
      <c r="A1168" s="44" t="n">
        <v>13</v>
      </c>
      <c r="B1168" s="44" t="s">
        <v>172</v>
      </c>
      <c r="C1168" s="44" t="s">
        <v>158</v>
      </c>
      <c r="D1168" s="45" t="str">
        <f aca="true">OFFSET(plates!$B$126,CODE(LEFT(B1168,1))-64,-1)&amp;"-"&amp;OFFSET(plates!$B$106,-1,MID(B1168,2,3)+0)</f>
        <v>bc321-bc413</v>
      </c>
      <c r="E1168" s="46" t="str">
        <f aca="true">OFFSET(plates!$B$126,CODE(LEFT(B1168,1))-64,MID(B1168,2,3)+0)&amp;""</f>
        <v/>
      </c>
      <c r="F1168" s="46"/>
      <c r="G1168" s="47"/>
      <c r="H1168" s="47"/>
    </row>
    <row r="1169" customFormat="false" ht="12.8" hidden="false" customHeight="false" outlineLevel="0" collapsed="false">
      <c r="A1169" s="44" t="n">
        <v>13</v>
      </c>
      <c r="B1169" s="44" t="s">
        <v>173</v>
      </c>
      <c r="C1169" s="44" t="s">
        <v>158</v>
      </c>
      <c r="D1169" s="45" t="str">
        <f aca="true">OFFSET(plates!$B$126,CODE(LEFT(B1169,1))-64,-1)&amp;"-"&amp;OFFSET(plates!$B$106,-1,MID(B1169,2,3)+0)</f>
        <v>bc324-bc413</v>
      </c>
      <c r="E1169" s="46" t="str">
        <f aca="true">OFFSET(plates!$B$126,CODE(LEFT(B1169,1))-64,MID(B1169,2,3)+0)&amp;""</f>
        <v/>
      </c>
      <c r="F1169" s="46"/>
      <c r="G1169" s="47"/>
      <c r="H1169" s="47"/>
    </row>
    <row r="1170" customFormat="false" ht="12.8" hidden="false" customHeight="false" outlineLevel="0" collapsed="false">
      <c r="A1170" s="44" t="n">
        <v>13</v>
      </c>
      <c r="B1170" s="44" t="s">
        <v>174</v>
      </c>
      <c r="C1170" s="44" t="s">
        <v>158</v>
      </c>
      <c r="D1170" s="45" t="str">
        <f aca="true">OFFSET(plates!$B$126,CODE(LEFT(B1170,1))-64,-1)&amp;"-"&amp;OFFSET(plates!$B$106,-1,MID(B1170,2,3)+0)</f>
        <v>bc272-bc414</v>
      </c>
      <c r="E1170" s="46" t="str">
        <f aca="true">OFFSET(plates!$B$126,CODE(LEFT(B1170,1))-64,MID(B1170,2,3)+0)&amp;""</f>
        <v/>
      </c>
      <c r="F1170" s="46"/>
      <c r="G1170" s="47"/>
      <c r="H1170" s="47"/>
    </row>
    <row r="1171" customFormat="false" ht="12.8" hidden="false" customHeight="false" outlineLevel="0" collapsed="false">
      <c r="A1171" s="44" t="n">
        <v>13</v>
      </c>
      <c r="B1171" s="44" t="s">
        <v>175</v>
      </c>
      <c r="C1171" s="44" t="s">
        <v>158</v>
      </c>
      <c r="D1171" s="45" t="str">
        <f aca="true">OFFSET(plates!$B$126,CODE(LEFT(B1171,1))-64,-1)&amp;"-"&amp;OFFSET(plates!$B$106,-1,MID(B1171,2,3)+0)</f>
        <v>bc277-bc414</v>
      </c>
      <c r="E1171" s="46" t="str">
        <f aca="true">OFFSET(plates!$B$126,CODE(LEFT(B1171,1))-64,MID(B1171,2,3)+0)&amp;""</f>
        <v/>
      </c>
      <c r="F1171" s="46"/>
      <c r="G1171" s="47"/>
      <c r="H1171" s="47"/>
    </row>
    <row r="1172" customFormat="false" ht="12.8" hidden="false" customHeight="false" outlineLevel="0" collapsed="false">
      <c r="A1172" s="44" t="n">
        <v>13</v>
      </c>
      <c r="B1172" s="44" t="s">
        <v>176</v>
      </c>
      <c r="C1172" s="44" t="s">
        <v>158</v>
      </c>
      <c r="D1172" s="45" t="str">
        <f aca="true">OFFSET(plates!$B$126,CODE(LEFT(B1172,1))-64,-1)&amp;"-"&amp;OFFSET(plates!$B$106,-1,MID(B1172,2,3)+0)</f>
        <v>bc282-bc414</v>
      </c>
      <c r="E1172" s="46" t="str">
        <f aca="true">OFFSET(plates!$B$126,CODE(LEFT(B1172,1))-64,MID(B1172,2,3)+0)&amp;""</f>
        <v/>
      </c>
      <c r="F1172" s="46"/>
      <c r="G1172" s="47"/>
      <c r="H1172" s="47"/>
    </row>
    <row r="1173" customFormat="false" ht="12.8" hidden="false" customHeight="false" outlineLevel="0" collapsed="false">
      <c r="A1173" s="44" t="n">
        <v>13</v>
      </c>
      <c r="B1173" s="44" t="s">
        <v>177</v>
      </c>
      <c r="C1173" s="44" t="s">
        <v>158</v>
      </c>
      <c r="D1173" s="45" t="str">
        <f aca="true">OFFSET(plates!$B$126,CODE(LEFT(B1173,1))-64,-1)&amp;"-"&amp;OFFSET(plates!$B$106,-1,MID(B1173,2,3)+0)</f>
        <v>bc286-bc414</v>
      </c>
      <c r="E1173" s="46" t="str">
        <f aca="true">OFFSET(plates!$B$126,CODE(LEFT(B1173,1))-64,MID(B1173,2,3)+0)&amp;""</f>
        <v/>
      </c>
      <c r="F1173" s="46"/>
      <c r="G1173" s="47"/>
      <c r="H1173" s="47"/>
    </row>
    <row r="1174" customFormat="false" ht="12.8" hidden="false" customHeight="false" outlineLevel="0" collapsed="false">
      <c r="A1174" s="44" t="n">
        <v>13</v>
      </c>
      <c r="B1174" s="44" t="s">
        <v>178</v>
      </c>
      <c r="C1174" s="44" t="s">
        <v>158</v>
      </c>
      <c r="D1174" s="45" t="str">
        <f aca="true">OFFSET(plates!$B$126,CODE(LEFT(B1174,1))-64,-1)&amp;"-"&amp;OFFSET(plates!$B$106,-1,MID(B1174,2,3)+0)</f>
        <v>bc298-bc414</v>
      </c>
      <c r="E1174" s="46" t="str">
        <f aca="true">OFFSET(plates!$B$126,CODE(LEFT(B1174,1))-64,MID(B1174,2,3)+0)&amp;""</f>
        <v/>
      </c>
      <c r="F1174" s="46"/>
      <c r="G1174" s="47"/>
      <c r="H1174" s="47"/>
    </row>
    <row r="1175" customFormat="false" ht="12.8" hidden="false" customHeight="false" outlineLevel="0" collapsed="false">
      <c r="A1175" s="44" t="n">
        <v>13</v>
      </c>
      <c r="B1175" s="44" t="s">
        <v>179</v>
      </c>
      <c r="C1175" s="44" t="s">
        <v>158</v>
      </c>
      <c r="D1175" s="45" t="str">
        <f aca="true">OFFSET(plates!$B$126,CODE(LEFT(B1175,1))-64,-1)&amp;"-"&amp;OFFSET(plates!$B$106,-1,MID(B1175,2,3)+0)</f>
        <v>bc314-bc414</v>
      </c>
      <c r="E1175" s="46" t="str">
        <f aca="true">OFFSET(plates!$B$126,CODE(LEFT(B1175,1))-64,MID(B1175,2,3)+0)&amp;""</f>
        <v/>
      </c>
      <c r="F1175" s="46"/>
      <c r="G1175" s="47"/>
      <c r="H1175" s="47"/>
    </row>
    <row r="1176" customFormat="false" ht="12.8" hidden="false" customHeight="false" outlineLevel="0" collapsed="false">
      <c r="A1176" s="44" t="n">
        <v>13</v>
      </c>
      <c r="B1176" s="44" t="s">
        <v>180</v>
      </c>
      <c r="C1176" s="44" t="s">
        <v>158</v>
      </c>
      <c r="D1176" s="45" t="str">
        <f aca="true">OFFSET(plates!$B$126,CODE(LEFT(B1176,1))-64,-1)&amp;"-"&amp;OFFSET(plates!$B$106,-1,MID(B1176,2,3)+0)</f>
        <v>bc321-bc414</v>
      </c>
      <c r="E1176" s="46" t="str">
        <f aca="true">OFFSET(plates!$B$126,CODE(LEFT(B1176,1))-64,MID(B1176,2,3)+0)&amp;""</f>
        <v/>
      </c>
      <c r="F1176" s="46"/>
      <c r="G1176" s="47"/>
      <c r="H1176" s="47"/>
    </row>
    <row r="1177" customFormat="false" ht="12.8" hidden="false" customHeight="false" outlineLevel="0" collapsed="false">
      <c r="A1177" s="44" t="n">
        <v>13</v>
      </c>
      <c r="B1177" s="44" t="s">
        <v>181</v>
      </c>
      <c r="C1177" s="44" t="s">
        <v>158</v>
      </c>
      <c r="D1177" s="45" t="str">
        <f aca="true">OFFSET(plates!$B$126,CODE(LEFT(B1177,1))-64,-1)&amp;"-"&amp;OFFSET(plates!$B$106,-1,MID(B1177,2,3)+0)</f>
        <v>bc324-bc414</v>
      </c>
      <c r="E1177" s="46" t="str">
        <f aca="true">OFFSET(plates!$B$126,CODE(LEFT(B1177,1))-64,MID(B1177,2,3)+0)&amp;""</f>
        <v/>
      </c>
      <c r="F1177" s="46"/>
      <c r="G1177" s="47"/>
      <c r="H1177" s="47"/>
    </row>
    <row r="1178" customFormat="false" ht="12.8" hidden="false" customHeight="false" outlineLevel="0" collapsed="false">
      <c r="A1178" s="44" t="n">
        <v>13</v>
      </c>
      <c r="B1178" s="44" t="s">
        <v>182</v>
      </c>
      <c r="C1178" s="44" t="s">
        <v>158</v>
      </c>
      <c r="D1178" s="45" t="str">
        <f aca="true">OFFSET(plates!$B$126,CODE(LEFT(B1178,1))-64,-1)&amp;"-"&amp;OFFSET(plates!$B$106,-1,MID(B1178,2,3)+0)</f>
        <v>bc272-bc418</v>
      </c>
      <c r="E1178" s="46" t="str">
        <f aca="true">OFFSET(plates!$B$126,CODE(LEFT(B1178,1))-64,MID(B1178,2,3)+0)&amp;""</f>
        <v/>
      </c>
      <c r="F1178" s="46"/>
      <c r="G1178" s="47"/>
      <c r="H1178" s="47"/>
    </row>
    <row r="1179" customFormat="false" ht="12.8" hidden="false" customHeight="false" outlineLevel="0" collapsed="false">
      <c r="A1179" s="44" t="n">
        <v>13</v>
      </c>
      <c r="B1179" s="44" t="s">
        <v>183</v>
      </c>
      <c r="C1179" s="44" t="s">
        <v>158</v>
      </c>
      <c r="D1179" s="45" t="str">
        <f aca="true">OFFSET(plates!$B$126,CODE(LEFT(B1179,1))-64,-1)&amp;"-"&amp;OFFSET(plates!$B$106,-1,MID(B1179,2,3)+0)</f>
        <v>bc277-bc418</v>
      </c>
      <c r="E1179" s="46" t="str">
        <f aca="true">OFFSET(plates!$B$126,CODE(LEFT(B1179,1))-64,MID(B1179,2,3)+0)&amp;""</f>
        <v/>
      </c>
      <c r="F1179" s="46"/>
      <c r="G1179" s="47"/>
      <c r="H1179" s="47"/>
    </row>
    <row r="1180" customFormat="false" ht="12.8" hidden="false" customHeight="false" outlineLevel="0" collapsed="false">
      <c r="A1180" s="44" t="n">
        <v>13</v>
      </c>
      <c r="B1180" s="44" t="s">
        <v>184</v>
      </c>
      <c r="C1180" s="44" t="s">
        <v>158</v>
      </c>
      <c r="D1180" s="45" t="str">
        <f aca="true">OFFSET(plates!$B$126,CODE(LEFT(B1180,1))-64,-1)&amp;"-"&amp;OFFSET(plates!$B$106,-1,MID(B1180,2,3)+0)</f>
        <v>bc282-bc418</v>
      </c>
      <c r="E1180" s="46" t="str">
        <f aca="true">OFFSET(plates!$B$126,CODE(LEFT(B1180,1))-64,MID(B1180,2,3)+0)&amp;""</f>
        <v/>
      </c>
      <c r="F1180" s="46"/>
      <c r="G1180" s="47"/>
      <c r="H1180" s="47"/>
    </row>
    <row r="1181" customFormat="false" ht="12.8" hidden="false" customHeight="false" outlineLevel="0" collapsed="false">
      <c r="A1181" s="44" t="n">
        <v>13</v>
      </c>
      <c r="B1181" s="44" t="s">
        <v>185</v>
      </c>
      <c r="C1181" s="44" t="s">
        <v>158</v>
      </c>
      <c r="D1181" s="45" t="str">
        <f aca="true">OFFSET(plates!$B$126,CODE(LEFT(B1181,1))-64,-1)&amp;"-"&amp;OFFSET(plates!$B$106,-1,MID(B1181,2,3)+0)</f>
        <v>bc286-bc418</v>
      </c>
      <c r="E1181" s="46" t="str">
        <f aca="true">OFFSET(plates!$B$126,CODE(LEFT(B1181,1))-64,MID(B1181,2,3)+0)&amp;""</f>
        <v/>
      </c>
      <c r="F1181" s="46"/>
      <c r="G1181" s="47"/>
      <c r="H1181" s="47"/>
    </row>
    <row r="1182" customFormat="false" ht="12.8" hidden="false" customHeight="false" outlineLevel="0" collapsed="false">
      <c r="A1182" s="44" t="n">
        <v>13</v>
      </c>
      <c r="B1182" s="44" t="s">
        <v>186</v>
      </c>
      <c r="C1182" s="44" t="s">
        <v>158</v>
      </c>
      <c r="D1182" s="45" t="str">
        <f aca="true">OFFSET(plates!$B$126,CODE(LEFT(B1182,1))-64,-1)&amp;"-"&amp;OFFSET(plates!$B$106,-1,MID(B1182,2,3)+0)</f>
        <v>bc298-bc418</v>
      </c>
      <c r="E1182" s="46" t="str">
        <f aca="true">OFFSET(plates!$B$126,CODE(LEFT(B1182,1))-64,MID(B1182,2,3)+0)&amp;""</f>
        <v/>
      </c>
      <c r="F1182" s="46"/>
      <c r="G1182" s="47"/>
      <c r="H1182" s="47"/>
    </row>
    <row r="1183" customFormat="false" ht="12.8" hidden="false" customHeight="false" outlineLevel="0" collapsed="false">
      <c r="A1183" s="44" t="n">
        <v>13</v>
      </c>
      <c r="B1183" s="44" t="s">
        <v>187</v>
      </c>
      <c r="C1183" s="44" t="s">
        <v>158</v>
      </c>
      <c r="D1183" s="45" t="str">
        <f aca="true">OFFSET(plates!$B$126,CODE(LEFT(B1183,1))-64,-1)&amp;"-"&amp;OFFSET(plates!$B$106,-1,MID(B1183,2,3)+0)</f>
        <v>bc314-bc418</v>
      </c>
      <c r="E1183" s="46" t="str">
        <f aca="true">OFFSET(plates!$B$126,CODE(LEFT(B1183,1))-64,MID(B1183,2,3)+0)&amp;""</f>
        <v/>
      </c>
      <c r="F1183" s="46"/>
      <c r="G1183" s="47"/>
      <c r="H1183" s="47"/>
    </row>
    <row r="1184" customFormat="false" ht="12.8" hidden="false" customHeight="false" outlineLevel="0" collapsed="false">
      <c r="A1184" s="44" t="n">
        <v>13</v>
      </c>
      <c r="B1184" s="44" t="s">
        <v>188</v>
      </c>
      <c r="C1184" s="44" t="s">
        <v>158</v>
      </c>
      <c r="D1184" s="45" t="str">
        <f aca="true">OFFSET(plates!$B$126,CODE(LEFT(B1184,1))-64,-1)&amp;"-"&amp;OFFSET(plates!$B$106,-1,MID(B1184,2,3)+0)</f>
        <v>bc321-bc418</v>
      </c>
      <c r="E1184" s="46" t="str">
        <f aca="true">OFFSET(plates!$B$126,CODE(LEFT(B1184,1))-64,MID(B1184,2,3)+0)&amp;""</f>
        <v/>
      </c>
      <c r="F1184" s="46"/>
      <c r="G1184" s="47"/>
      <c r="H1184" s="47"/>
    </row>
    <row r="1185" customFormat="false" ht="12.8" hidden="false" customHeight="false" outlineLevel="0" collapsed="false">
      <c r="A1185" s="44" t="n">
        <v>13</v>
      </c>
      <c r="B1185" s="44" t="s">
        <v>189</v>
      </c>
      <c r="C1185" s="44" t="s">
        <v>158</v>
      </c>
      <c r="D1185" s="45" t="str">
        <f aca="true">OFFSET(plates!$B$126,CODE(LEFT(B1185,1))-64,-1)&amp;"-"&amp;OFFSET(plates!$B$106,-1,MID(B1185,2,3)+0)</f>
        <v>bc324-bc418</v>
      </c>
      <c r="E1185" s="46" t="str">
        <f aca="true">OFFSET(plates!$B$126,CODE(LEFT(B1185,1))-64,MID(B1185,2,3)+0)&amp;""</f>
        <v/>
      </c>
      <c r="F1185" s="46"/>
      <c r="G1185" s="47"/>
      <c r="H1185" s="47"/>
    </row>
    <row r="1186" customFormat="false" ht="12.8" hidden="false" customHeight="false" outlineLevel="0" collapsed="false">
      <c r="A1186" s="44" t="n">
        <v>13</v>
      </c>
      <c r="B1186" s="44" t="s">
        <v>190</v>
      </c>
      <c r="C1186" s="44" t="s">
        <v>158</v>
      </c>
      <c r="D1186" s="45" t="str">
        <f aca="true">OFFSET(plates!$B$126,CODE(LEFT(B1186,1))-64,-1)&amp;"-"&amp;OFFSET(plates!$B$106,-1,MID(B1186,2,3)+0)</f>
        <v>bc272-bc436</v>
      </c>
      <c r="E1186" s="46" t="str">
        <f aca="true">OFFSET(plates!$B$126,CODE(LEFT(B1186,1))-64,MID(B1186,2,3)+0)&amp;""</f>
        <v/>
      </c>
      <c r="F1186" s="46"/>
      <c r="G1186" s="47"/>
      <c r="H1186" s="47"/>
    </row>
    <row r="1187" customFormat="false" ht="12.8" hidden="false" customHeight="false" outlineLevel="0" collapsed="false">
      <c r="A1187" s="44" t="n">
        <v>13</v>
      </c>
      <c r="B1187" s="44" t="s">
        <v>191</v>
      </c>
      <c r="C1187" s="44" t="s">
        <v>158</v>
      </c>
      <c r="D1187" s="45" t="str">
        <f aca="true">OFFSET(plates!$B$126,CODE(LEFT(B1187,1))-64,-1)&amp;"-"&amp;OFFSET(plates!$B$106,-1,MID(B1187,2,3)+0)</f>
        <v>bc277-bc436</v>
      </c>
      <c r="E1187" s="46" t="str">
        <f aca="true">OFFSET(plates!$B$126,CODE(LEFT(B1187,1))-64,MID(B1187,2,3)+0)&amp;""</f>
        <v/>
      </c>
      <c r="F1187" s="46"/>
      <c r="G1187" s="47"/>
      <c r="H1187" s="47"/>
    </row>
    <row r="1188" customFormat="false" ht="12.8" hidden="false" customHeight="false" outlineLevel="0" collapsed="false">
      <c r="A1188" s="44" t="n">
        <v>13</v>
      </c>
      <c r="B1188" s="44" t="s">
        <v>192</v>
      </c>
      <c r="C1188" s="44" t="s">
        <v>158</v>
      </c>
      <c r="D1188" s="45" t="str">
        <f aca="true">OFFSET(plates!$B$126,CODE(LEFT(B1188,1))-64,-1)&amp;"-"&amp;OFFSET(plates!$B$106,-1,MID(B1188,2,3)+0)</f>
        <v>bc282-bc436</v>
      </c>
      <c r="E1188" s="46" t="str">
        <f aca="true">OFFSET(plates!$B$126,CODE(LEFT(B1188,1))-64,MID(B1188,2,3)+0)&amp;""</f>
        <v/>
      </c>
      <c r="F1188" s="46"/>
      <c r="G1188" s="47"/>
      <c r="H1188" s="47"/>
    </row>
    <row r="1189" customFormat="false" ht="12.8" hidden="false" customHeight="false" outlineLevel="0" collapsed="false">
      <c r="A1189" s="44" t="n">
        <v>13</v>
      </c>
      <c r="B1189" s="44" t="s">
        <v>193</v>
      </c>
      <c r="C1189" s="44" t="s">
        <v>158</v>
      </c>
      <c r="D1189" s="45" t="str">
        <f aca="true">OFFSET(plates!$B$126,CODE(LEFT(B1189,1))-64,-1)&amp;"-"&amp;OFFSET(plates!$B$106,-1,MID(B1189,2,3)+0)</f>
        <v>bc286-bc436</v>
      </c>
      <c r="E1189" s="46" t="str">
        <f aca="true">OFFSET(plates!$B$126,CODE(LEFT(B1189,1))-64,MID(B1189,2,3)+0)&amp;""</f>
        <v/>
      </c>
      <c r="F1189" s="46"/>
      <c r="G1189" s="47"/>
      <c r="H1189" s="47"/>
    </row>
    <row r="1190" customFormat="false" ht="12.8" hidden="false" customHeight="false" outlineLevel="0" collapsed="false">
      <c r="A1190" s="44" t="n">
        <v>13</v>
      </c>
      <c r="B1190" s="44" t="s">
        <v>194</v>
      </c>
      <c r="C1190" s="44" t="s">
        <v>158</v>
      </c>
      <c r="D1190" s="45" t="str">
        <f aca="true">OFFSET(plates!$B$126,CODE(LEFT(B1190,1))-64,-1)&amp;"-"&amp;OFFSET(plates!$B$106,-1,MID(B1190,2,3)+0)</f>
        <v>bc298-bc436</v>
      </c>
      <c r="E1190" s="46" t="str">
        <f aca="true">OFFSET(plates!$B$126,CODE(LEFT(B1190,1))-64,MID(B1190,2,3)+0)&amp;""</f>
        <v/>
      </c>
      <c r="F1190" s="46"/>
      <c r="G1190" s="47"/>
      <c r="H1190" s="47"/>
    </row>
    <row r="1191" customFormat="false" ht="12.8" hidden="false" customHeight="false" outlineLevel="0" collapsed="false">
      <c r="A1191" s="44" t="n">
        <v>13</v>
      </c>
      <c r="B1191" s="44" t="s">
        <v>195</v>
      </c>
      <c r="C1191" s="44" t="s">
        <v>158</v>
      </c>
      <c r="D1191" s="45" t="str">
        <f aca="true">OFFSET(plates!$B$126,CODE(LEFT(B1191,1))-64,-1)&amp;"-"&amp;OFFSET(plates!$B$106,-1,MID(B1191,2,3)+0)</f>
        <v>bc314-bc436</v>
      </c>
      <c r="E1191" s="46" t="str">
        <f aca="true">OFFSET(plates!$B$126,CODE(LEFT(B1191,1))-64,MID(B1191,2,3)+0)&amp;""</f>
        <v/>
      </c>
      <c r="F1191" s="46"/>
      <c r="G1191" s="47"/>
      <c r="H1191" s="47"/>
    </row>
    <row r="1192" customFormat="false" ht="12.8" hidden="false" customHeight="false" outlineLevel="0" collapsed="false">
      <c r="A1192" s="44" t="n">
        <v>13</v>
      </c>
      <c r="B1192" s="44" t="s">
        <v>196</v>
      </c>
      <c r="C1192" s="44" t="s">
        <v>158</v>
      </c>
      <c r="D1192" s="45" t="str">
        <f aca="true">OFFSET(plates!$B$126,CODE(LEFT(B1192,1))-64,-1)&amp;"-"&amp;OFFSET(plates!$B$106,-1,MID(B1192,2,3)+0)</f>
        <v>bc321-bc436</v>
      </c>
      <c r="E1192" s="46" t="str">
        <f aca="true">OFFSET(plates!$B$126,CODE(LEFT(B1192,1))-64,MID(B1192,2,3)+0)&amp;""</f>
        <v/>
      </c>
      <c r="F1192" s="46"/>
      <c r="G1192" s="47"/>
      <c r="H1192" s="47"/>
    </row>
    <row r="1193" customFormat="false" ht="12.8" hidden="false" customHeight="false" outlineLevel="0" collapsed="false">
      <c r="A1193" s="44" t="n">
        <v>13</v>
      </c>
      <c r="B1193" s="44" t="s">
        <v>197</v>
      </c>
      <c r="C1193" s="44" t="s">
        <v>158</v>
      </c>
      <c r="D1193" s="45" t="str">
        <f aca="true">OFFSET(plates!$B$126,CODE(LEFT(B1193,1))-64,-1)&amp;"-"&amp;OFFSET(plates!$B$106,-1,MID(B1193,2,3)+0)</f>
        <v>bc324-bc436</v>
      </c>
      <c r="E1193" s="46" t="str">
        <f aca="true">OFFSET(plates!$B$126,CODE(LEFT(B1193,1))-64,MID(B1193,2,3)+0)&amp;""</f>
        <v/>
      </c>
      <c r="F1193" s="46"/>
      <c r="G1193" s="47"/>
      <c r="H1193" s="47"/>
    </row>
    <row r="1194" customFormat="false" ht="12.8" hidden="false" customHeight="false" outlineLevel="0" collapsed="false">
      <c r="A1194" s="44" t="n">
        <v>13</v>
      </c>
      <c r="B1194" s="44" t="s">
        <v>198</v>
      </c>
      <c r="C1194" s="44" t="s">
        <v>158</v>
      </c>
      <c r="D1194" s="45" t="str">
        <f aca="true">OFFSET(plates!$B$126,CODE(LEFT(B1194,1))-64,-1)&amp;"-"&amp;OFFSET(plates!$B$106,-1,MID(B1194,2,3)+0)</f>
        <v>bc272-bc471</v>
      </c>
      <c r="E1194" s="46" t="str">
        <f aca="true">OFFSET(plates!$B$126,CODE(LEFT(B1194,1))-64,MID(B1194,2,3)+0)&amp;""</f>
        <v/>
      </c>
      <c r="F1194" s="46"/>
      <c r="G1194" s="47"/>
      <c r="H1194" s="47"/>
    </row>
    <row r="1195" customFormat="false" ht="12.8" hidden="false" customHeight="false" outlineLevel="0" collapsed="false">
      <c r="A1195" s="44" t="n">
        <v>13</v>
      </c>
      <c r="B1195" s="44" t="s">
        <v>199</v>
      </c>
      <c r="C1195" s="44" t="s">
        <v>158</v>
      </c>
      <c r="D1195" s="45" t="str">
        <f aca="true">OFFSET(plates!$B$126,CODE(LEFT(B1195,1))-64,-1)&amp;"-"&amp;OFFSET(plates!$B$106,-1,MID(B1195,2,3)+0)</f>
        <v>bc277-bc471</v>
      </c>
      <c r="E1195" s="46" t="str">
        <f aca="true">OFFSET(plates!$B$126,CODE(LEFT(B1195,1))-64,MID(B1195,2,3)+0)&amp;""</f>
        <v/>
      </c>
      <c r="F1195" s="46"/>
      <c r="G1195" s="47"/>
      <c r="H1195" s="47"/>
    </row>
    <row r="1196" customFormat="false" ht="12.8" hidden="false" customHeight="false" outlineLevel="0" collapsed="false">
      <c r="A1196" s="44" t="n">
        <v>13</v>
      </c>
      <c r="B1196" s="44" t="s">
        <v>200</v>
      </c>
      <c r="C1196" s="44" t="s">
        <v>158</v>
      </c>
      <c r="D1196" s="45" t="str">
        <f aca="true">OFFSET(plates!$B$126,CODE(LEFT(B1196,1))-64,-1)&amp;"-"&amp;OFFSET(plates!$B$106,-1,MID(B1196,2,3)+0)</f>
        <v>bc282-bc471</v>
      </c>
      <c r="E1196" s="46" t="str">
        <f aca="true">OFFSET(plates!$B$126,CODE(LEFT(B1196,1))-64,MID(B1196,2,3)+0)&amp;""</f>
        <v/>
      </c>
      <c r="F1196" s="46"/>
      <c r="G1196" s="47"/>
      <c r="H1196" s="47"/>
    </row>
    <row r="1197" customFormat="false" ht="12.8" hidden="false" customHeight="false" outlineLevel="0" collapsed="false">
      <c r="A1197" s="44" t="n">
        <v>13</v>
      </c>
      <c r="B1197" s="44" t="s">
        <v>201</v>
      </c>
      <c r="C1197" s="44" t="s">
        <v>158</v>
      </c>
      <c r="D1197" s="45" t="str">
        <f aca="true">OFFSET(plates!$B$126,CODE(LEFT(B1197,1))-64,-1)&amp;"-"&amp;OFFSET(plates!$B$106,-1,MID(B1197,2,3)+0)</f>
        <v>bc286-bc471</v>
      </c>
      <c r="E1197" s="46" t="str">
        <f aca="true">OFFSET(plates!$B$126,CODE(LEFT(B1197,1))-64,MID(B1197,2,3)+0)&amp;""</f>
        <v/>
      </c>
      <c r="F1197" s="46"/>
      <c r="G1197" s="47"/>
      <c r="H1197" s="47"/>
    </row>
    <row r="1198" customFormat="false" ht="12.8" hidden="false" customHeight="false" outlineLevel="0" collapsed="false">
      <c r="A1198" s="44" t="n">
        <v>13</v>
      </c>
      <c r="B1198" s="44" t="s">
        <v>202</v>
      </c>
      <c r="C1198" s="44" t="s">
        <v>158</v>
      </c>
      <c r="D1198" s="45" t="str">
        <f aca="true">OFFSET(plates!$B$126,CODE(LEFT(B1198,1))-64,-1)&amp;"-"&amp;OFFSET(plates!$B$106,-1,MID(B1198,2,3)+0)</f>
        <v>bc298-bc471</v>
      </c>
      <c r="E1198" s="46" t="str">
        <f aca="true">OFFSET(plates!$B$126,CODE(LEFT(B1198,1))-64,MID(B1198,2,3)+0)&amp;""</f>
        <v/>
      </c>
      <c r="F1198" s="46"/>
      <c r="G1198" s="47"/>
      <c r="H1198" s="47"/>
    </row>
    <row r="1199" customFormat="false" ht="12.8" hidden="false" customHeight="false" outlineLevel="0" collapsed="false">
      <c r="A1199" s="44" t="n">
        <v>13</v>
      </c>
      <c r="B1199" s="44" t="s">
        <v>203</v>
      </c>
      <c r="C1199" s="44" t="s">
        <v>158</v>
      </c>
      <c r="D1199" s="45" t="str">
        <f aca="true">OFFSET(plates!$B$126,CODE(LEFT(B1199,1))-64,-1)&amp;"-"&amp;OFFSET(plates!$B$106,-1,MID(B1199,2,3)+0)</f>
        <v>bc314-bc471</v>
      </c>
      <c r="E1199" s="46" t="str">
        <f aca="true">OFFSET(plates!$B$126,CODE(LEFT(B1199,1))-64,MID(B1199,2,3)+0)&amp;""</f>
        <v/>
      </c>
      <c r="F1199" s="46"/>
      <c r="G1199" s="47"/>
      <c r="H1199" s="47"/>
    </row>
    <row r="1200" customFormat="false" ht="12.8" hidden="false" customHeight="false" outlineLevel="0" collapsed="false">
      <c r="A1200" s="44" t="n">
        <v>13</v>
      </c>
      <c r="B1200" s="44" t="s">
        <v>204</v>
      </c>
      <c r="C1200" s="44" t="s">
        <v>158</v>
      </c>
      <c r="D1200" s="45" t="str">
        <f aca="true">OFFSET(plates!$B$126,CODE(LEFT(B1200,1))-64,-1)&amp;"-"&amp;OFFSET(plates!$B$106,-1,MID(B1200,2,3)+0)</f>
        <v>bc321-bc471</v>
      </c>
      <c r="E1200" s="46" t="str">
        <f aca="true">OFFSET(plates!$B$126,CODE(LEFT(B1200,1))-64,MID(B1200,2,3)+0)&amp;""</f>
        <v/>
      </c>
      <c r="F1200" s="46"/>
      <c r="G1200" s="47"/>
      <c r="H1200" s="47"/>
    </row>
    <row r="1201" customFormat="false" ht="12.8" hidden="false" customHeight="false" outlineLevel="0" collapsed="false">
      <c r="A1201" s="44" t="n">
        <v>13</v>
      </c>
      <c r="B1201" s="44" t="s">
        <v>205</v>
      </c>
      <c r="C1201" s="44" t="s">
        <v>158</v>
      </c>
      <c r="D1201" s="45" t="str">
        <f aca="true">OFFSET(plates!$B$126,CODE(LEFT(B1201,1))-64,-1)&amp;"-"&amp;OFFSET(plates!$B$106,-1,MID(B1201,2,3)+0)</f>
        <v>bc324-bc471</v>
      </c>
      <c r="E1201" s="46" t="str">
        <f aca="true">OFFSET(plates!$B$126,CODE(LEFT(B1201,1))-64,MID(B1201,2,3)+0)&amp;""</f>
        <v/>
      </c>
      <c r="F1201" s="46"/>
      <c r="G1201" s="47"/>
      <c r="H1201" s="47"/>
    </row>
    <row r="1202" customFormat="false" ht="12.8" hidden="false" customHeight="false" outlineLevel="0" collapsed="false">
      <c r="A1202" s="44" t="n">
        <v>13</v>
      </c>
      <c r="B1202" s="44" t="s">
        <v>206</v>
      </c>
      <c r="C1202" s="44" t="s">
        <v>158</v>
      </c>
      <c r="D1202" s="45" t="str">
        <f aca="true">OFFSET(plates!$B$126,CODE(LEFT(B1202,1))-64,-1)&amp;"-"&amp;OFFSET(plates!$B$106,-1,MID(B1202,2,3)+0)</f>
        <v>bc272-bc488</v>
      </c>
      <c r="E1202" s="46" t="str">
        <f aca="true">OFFSET(plates!$B$126,CODE(LEFT(B1202,1))-64,MID(B1202,2,3)+0)&amp;""</f>
        <v/>
      </c>
      <c r="F1202" s="46"/>
      <c r="G1202" s="47"/>
      <c r="H1202" s="47"/>
    </row>
    <row r="1203" customFormat="false" ht="12.8" hidden="false" customHeight="false" outlineLevel="0" collapsed="false">
      <c r="A1203" s="44" t="n">
        <v>13</v>
      </c>
      <c r="B1203" s="44" t="s">
        <v>207</v>
      </c>
      <c r="C1203" s="44" t="s">
        <v>158</v>
      </c>
      <c r="D1203" s="45" t="str">
        <f aca="true">OFFSET(plates!$B$126,CODE(LEFT(B1203,1))-64,-1)&amp;"-"&amp;OFFSET(plates!$B$106,-1,MID(B1203,2,3)+0)</f>
        <v>bc277-bc488</v>
      </c>
      <c r="E1203" s="46" t="str">
        <f aca="true">OFFSET(plates!$B$126,CODE(LEFT(B1203,1))-64,MID(B1203,2,3)+0)&amp;""</f>
        <v/>
      </c>
      <c r="F1203" s="46"/>
      <c r="G1203" s="47"/>
      <c r="H1203" s="47"/>
    </row>
    <row r="1204" customFormat="false" ht="12.8" hidden="false" customHeight="false" outlineLevel="0" collapsed="false">
      <c r="A1204" s="44" t="n">
        <v>13</v>
      </c>
      <c r="B1204" s="44" t="s">
        <v>208</v>
      </c>
      <c r="C1204" s="44" t="s">
        <v>158</v>
      </c>
      <c r="D1204" s="45" t="str">
        <f aca="true">OFFSET(plates!$B$126,CODE(LEFT(B1204,1))-64,-1)&amp;"-"&amp;OFFSET(plates!$B$106,-1,MID(B1204,2,3)+0)</f>
        <v>bc282-bc488</v>
      </c>
      <c r="E1204" s="46" t="str">
        <f aca="true">OFFSET(plates!$B$126,CODE(LEFT(B1204,1))-64,MID(B1204,2,3)+0)&amp;""</f>
        <v/>
      </c>
      <c r="F1204" s="46"/>
      <c r="G1204" s="47"/>
      <c r="H1204" s="47"/>
    </row>
    <row r="1205" customFormat="false" ht="12.8" hidden="false" customHeight="false" outlineLevel="0" collapsed="false">
      <c r="A1205" s="44" t="n">
        <v>13</v>
      </c>
      <c r="B1205" s="44" t="s">
        <v>209</v>
      </c>
      <c r="C1205" s="44" t="s">
        <v>158</v>
      </c>
      <c r="D1205" s="45" t="str">
        <f aca="true">OFFSET(plates!$B$126,CODE(LEFT(B1205,1))-64,-1)&amp;"-"&amp;OFFSET(plates!$B$106,-1,MID(B1205,2,3)+0)</f>
        <v>bc286-bc488</v>
      </c>
      <c r="E1205" s="46" t="str">
        <f aca="true">OFFSET(plates!$B$126,CODE(LEFT(B1205,1))-64,MID(B1205,2,3)+0)&amp;""</f>
        <v/>
      </c>
      <c r="F1205" s="46"/>
      <c r="G1205" s="47"/>
      <c r="H1205" s="47"/>
    </row>
    <row r="1206" customFormat="false" ht="12.8" hidden="false" customHeight="false" outlineLevel="0" collapsed="false">
      <c r="A1206" s="44" t="n">
        <v>13</v>
      </c>
      <c r="B1206" s="44" t="s">
        <v>210</v>
      </c>
      <c r="C1206" s="44" t="s">
        <v>158</v>
      </c>
      <c r="D1206" s="45" t="str">
        <f aca="true">OFFSET(plates!$B$126,CODE(LEFT(B1206,1))-64,-1)&amp;"-"&amp;OFFSET(plates!$B$106,-1,MID(B1206,2,3)+0)</f>
        <v>bc298-bc488</v>
      </c>
      <c r="E1206" s="46" t="str">
        <f aca="true">OFFSET(plates!$B$126,CODE(LEFT(B1206,1))-64,MID(B1206,2,3)+0)&amp;""</f>
        <v/>
      </c>
      <c r="F1206" s="46"/>
      <c r="G1206" s="47"/>
      <c r="H1206" s="47"/>
    </row>
    <row r="1207" customFormat="false" ht="12.8" hidden="false" customHeight="false" outlineLevel="0" collapsed="false">
      <c r="A1207" s="44" t="n">
        <v>13</v>
      </c>
      <c r="B1207" s="44" t="s">
        <v>211</v>
      </c>
      <c r="C1207" s="44" t="s">
        <v>158</v>
      </c>
      <c r="D1207" s="45" t="str">
        <f aca="true">OFFSET(plates!$B$126,CODE(LEFT(B1207,1))-64,-1)&amp;"-"&amp;OFFSET(plates!$B$106,-1,MID(B1207,2,3)+0)</f>
        <v>bc314-bc488</v>
      </c>
      <c r="E1207" s="46" t="str">
        <f aca="true">OFFSET(plates!$B$126,CODE(LEFT(B1207,1))-64,MID(B1207,2,3)+0)&amp;""</f>
        <v/>
      </c>
      <c r="F1207" s="46"/>
      <c r="G1207" s="47"/>
      <c r="H1207" s="47"/>
    </row>
    <row r="1208" customFormat="false" ht="12.8" hidden="false" customHeight="false" outlineLevel="0" collapsed="false">
      <c r="A1208" s="44" t="n">
        <v>13</v>
      </c>
      <c r="B1208" s="44" t="s">
        <v>212</v>
      </c>
      <c r="C1208" s="44" t="s">
        <v>158</v>
      </c>
      <c r="D1208" s="45" t="str">
        <f aca="true">OFFSET(plates!$B$126,CODE(LEFT(B1208,1))-64,-1)&amp;"-"&amp;OFFSET(plates!$B$106,-1,MID(B1208,2,3)+0)</f>
        <v>bc321-bc488</v>
      </c>
      <c r="E1208" s="46" t="str">
        <f aca="true">OFFSET(plates!$B$126,CODE(LEFT(B1208,1))-64,MID(B1208,2,3)+0)&amp;""</f>
        <v/>
      </c>
      <c r="F1208" s="46"/>
      <c r="G1208" s="47"/>
      <c r="H1208" s="47"/>
    </row>
    <row r="1209" customFormat="false" ht="12.8" hidden="false" customHeight="false" outlineLevel="0" collapsed="false">
      <c r="A1209" s="44" t="n">
        <v>13</v>
      </c>
      <c r="B1209" s="44" t="s">
        <v>213</v>
      </c>
      <c r="C1209" s="44" t="s">
        <v>158</v>
      </c>
      <c r="D1209" s="45" t="str">
        <f aca="true">OFFSET(plates!$B$126,CODE(LEFT(B1209,1))-64,-1)&amp;"-"&amp;OFFSET(plates!$B$106,-1,MID(B1209,2,3)+0)</f>
        <v>bc324-bc488</v>
      </c>
      <c r="E1209" s="46" t="str">
        <f aca="true">OFFSET(plates!$B$126,CODE(LEFT(B1209,1))-64,MID(B1209,2,3)+0)&amp;""</f>
        <v/>
      </c>
      <c r="F1209" s="46"/>
      <c r="G1209" s="47"/>
      <c r="H1209" s="47"/>
    </row>
    <row r="1210" customFormat="false" ht="12.8" hidden="false" customHeight="false" outlineLevel="0" collapsed="false">
      <c r="A1210" s="44" t="n">
        <v>13</v>
      </c>
      <c r="B1210" s="44" t="s">
        <v>214</v>
      </c>
      <c r="C1210" s="44" t="s">
        <v>158</v>
      </c>
      <c r="D1210" s="45" t="str">
        <f aca="true">OFFSET(plates!$B$126,CODE(LEFT(B1210,1))-64,-1)&amp;"-"&amp;OFFSET(plates!$B$106,-1,MID(B1210,2,3)+0)</f>
        <v>bc272-bc497</v>
      </c>
      <c r="E1210" s="46" t="str">
        <f aca="true">OFFSET(plates!$B$126,CODE(LEFT(B1210,1))-64,MID(B1210,2,3)+0)&amp;""</f>
        <v/>
      </c>
      <c r="F1210" s="46"/>
      <c r="G1210" s="47"/>
      <c r="H1210" s="47"/>
    </row>
    <row r="1211" customFormat="false" ht="12.8" hidden="false" customHeight="false" outlineLevel="0" collapsed="false">
      <c r="A1211" s="44" t="n">
        <v>13</v>
      </c>
      <c r="B1211" s="44" t="s">
        <v>215</v>
      </c>
      <c r="C1211" s="44" t="s">
        <v>158</v>
      </c>
      <c r="D1211" s="45" t="str">
        <f aca="true">OFFSET(plates!$B$126,CODE(LEFT(B1211,1))-64,-1)&amp;"-"&amp;OFFSET(plates!$B$106,-1,MID(B1211,2,3)+0)</f>
        <v>bc277-bc497</v>
      </c>
      <c r="E1211" s="46" t="str">
        <f aca="true">OFFSET(plates!$B$126,CODE(LEFT(B1211,1))-64,MID(B1211,2,3)+0)&amp;""</f>
        <v/>
      </c>
      <c r="F1211" s="46"/>
      <c r="G1211" s="47"/>
      <c r="H1211" s="47"/>
    </row>
    <row r="1212" customFormat="false" ht="12.8" hidden="false" customHeight="false" outlineLevel="0" collapsed="false">
      <c r="A1212" s="44" t="n">
        <v>13</v>
      </c>
      <c r="B1212" s="44" t="s">
        <v>216</v>
      </c>
      <c r="C1212" s="44" t="s">
        <v>158</v>
      </c>
      <c r="D1212" s="45" t="str">
        <f aca="true">OFFSET(plates!$B$126,CODE(LEFT(B1212,1))-64,-1)&amp;"-"&amp;OFFSET(plates!$B$106,-1,MID(B1212,2,3)+0)</f>
        <v>bc282-bc497</v>
      </c>
      <c r="E1212" s="46" t="str">
        <f aca="true">OFFSET(plates!$B$126,CODE(LEFT(B1212,1))-64,MID(B1212,2,3)+0)&amp;""</f>
        <v/>
      </c>
      <c r="F1212" s="46"/>
      <c r="G1212" s="47"/>
      <c r="H1212" s="47"/>
    </row>
    <row r="1213" customFormat="false" ht="12.8" hidden="false" customHeight="false" outlineLevel="0" collapsed="false">
      <c r="A1213" s="44" t="n">
        <v>13</v>
      </c>
      <c r="B1213" s="44" t="s">
        <v>217</v>
      </c>
      <c r="C1213" s="44" t="s">
        <v>158</v>
      </c>
      <c r="D1213" s="45" t="str">
        <f aca="true">OFFSET(plates!$B$126,CODE(LEFT(B1213,1))-64,-1)&amp;"-"&amp;OFFSET(plates!$B$106,-1,MID(B1213,2,3)+0)</f>
        <v>bc286-bc497</v>
      </c>
      <c r="E1213" s="46" t="str">
        <f aca="true">OFFSET(plates!$B$126,CODE(LEFT(B1213,1))-64,MID(B1213,2,3)+0)&amp;""</f>
        <v/>
      </c>
      <c r="F1213" s="46"/>
      <c r="G1213" s="47"/>
      <c r="H1213" s="47"/>
    </row>
    <row r="1214" customFormat="false" ht="12.8" hidden="false" customHeight="false" outlineLevel="0" collapsed="false">
      <c r="A1214" s="44" t="n">
        <v>13</v>
      </c>
      <c r="B1214" s="44" t="s">
        <v>218</v>
      </c>
      <c r="C1214" s="44" t="s">
        <v>158</v>
      </c>
      <c r="D1214" s="45" t="str">
        <f aca="true">OFFSET(plates!$B$126,CODE(LEFT(B1214,1))-64,-1)&amp;"-"&amp;OFFSET(plates!$B$106,-1,MID(B1214,2,3)+0)</f>
        <v>bc298-bc497</v>
      </c>
      <c r="E1214" s="46" t="str">
        <f aca="true">OFFSET(plates!$B$126,CODE(LEFT(B1214,1))-64,MID(B1214,2,3)+0)&amp;""</f>
        <v/>
      </c>
      <c r="F1214" s="46"/>
      <c r="G1214" s="47"/>
      <c r="H1214" s="47"/>
    </row>
    <row r="1215" customFormat="false" ht="12.8" hidden="false" customHeight="false" outlineLevel="0" collapsed="false">
      <c r="A1215" s="44" t="n">
        <v>13</v>
      </c>
      <c r="B1215" s="44" t="s">
        <v>219</v>
      </c>
      <c r="C1215" s="44" t="s">
        <v>158</v>
      </c>
      <c r="D1215" s="45" t="str">
        <f aca="true">OFFSET(plates!$B$126,CODE(LEFT(B1215,1))-64,-1)&amp;"-"&amp;OFFSET(plates!$B$106,-1,MID(B1215,2,3)+0)</f>
        <v>bc314-bc497</v>
      </c>
      <c r="E1215" s="46" t="str">
        <f aca="true">OFFSET(plates!$B$126,CODE(LEFT(B1215,1))-64,MID(B1215,2,3)+0)&amp;""</f>
        <v/>
      </c>
      <c r="F1215" s="46"/>
      <c r="G1215" s="47"/>
      <c r="H1215" s="47"/>
    </row>
    <row r="1216" customFormat="false" ht="12.8" hidden="false" customHeight="false" outlineLevel="0" collapsed="false">
      <c r="A1216" s="44" t="n">
        <v>13</v>
      </c>
      <c r="B1216" s="44" t="s">
        <v>220</v>
      </c>
      <c r="C1216" s="44" t="s">
        <v>158</v>
      </c>
      <c r="D1216" s="45" t="str">
        <f aca="true">OFFSET(plates!$B$126,CODE(LEFT(B1216,1))-64,-1)&amp;"-"&amp;OFFSET(plates!$B$106,-1,MID(B1216,2,3)+0)</f>
        <v>bc321-bc497</v>
      </c>
      <c r="E1216" s="46" t="str">
        <f aca="true">OFFSET(plates!$B$126,CODE(LEFT(B1216,1))-64,MID(B1216,2,3)+0)&amp;""</f>
        <v/>
      </c>
      <c r="F1216" s="46"/>
      <c r="G1216" s="47"/>
      <c r="H1216" s="47"/>
    </row>
    <row r="1217" customFormat="false" ht="12.8" hidden="false" customHeight="false" outlineLevel="0" collapsed="false">
      <c r="A1217" s="44" t="n">
        <v>13</v>
      </c>
      <c r="B1217" s="44" t="s">
        <v>221</v>
      </c>
      <c r="C1217" s="44" t="s">
        <v>158</v>
      </c>
      <c r="D1217" s="45" t="str">
        <f aca="true">OFFSET(plates!$B$126,CODE(LEFT(B1217,1))-64,-1)&amp;"-"&amp;OFFSET(plates!$B$106,-1,MID(B1217,2,3)+0)</f>
        <v>bc324-bc497</v>
      </c>
      <c r="E1217" s="46" t="str">
        <f aca="true">OFFSET(plates!$B$126,CODE(LEFT(B1217,1))-64,MID(B1217,2,3)+0)&amp;""</f>
        <v/>
      </c>
      <c r="F1217" s="46"/>
      <c r="G1217" s="47"/>
      <c r="H1217" s="47"/>
    </row>
    <row r="1218" customFormat="false" ht="12.8" hidden="false" customHeight="false" outlineLevel="0" collapsed="false">
      <c r="A1218" s="44" t="n">
        <v>13</v>
      </c>
      <c r="B1218" s="44" t="s">
        <v>222</v>
      </c>
      <c r="C1218" s="44" t="s">
        <v>158</v>
      </c>
      <c r="D1218" s="45" t="str">
        <f aca="true">OFFSET(plates!$B$126,CODE(LEFT(B1218,1))-64,-1)&amp;"-"&amp;OFFSET(plates!$B$106,-1,MID(B1218,2,3)+0)</f>
        <v>bc272-bc500</v>
      </c>
      <c r="E1218" s="46" t="str">
        <f aca="true">OFFSET(plates!$B$126,CODE(LEFT(B1218,1))-64,MID(B1218,2,3)+0)&amp;""</f>
        <v/>
      </c>
      <c r="F1218" s="46"/>
      <c r="G1218" s="47"/>
      <c r="H1218" s="47"/>
    </row>
    <row r="1219" customFormat="false" ht="12.8" hidden="false" customHeight="false" outlineLevel="0" collapsed="false">
      <c r="A1219" s="44" t="n">
        <v>13</v>
      </c>
      <c r="B1219" s="44" t="s">
        <v>223</v>
      </c>
      <c r="C1219" s="44" t="s">
        <v>158</v>
      </c>
      <c r="D1219" s="45" t="str">
        <f aca="true">OFFSET(plates!$B$126,CODE(LEFT(B1219,1))-64,-1)&amp;"-"&amp;OFFSET(plates!$B$106,-1,MID(B1219,2,3)+0)</f>
        <v>bc277-bc500</v>
      </c>
      <c r="E1219" s="46" t="str">
        <f aca="true">OFFSET(plates!$B$126,CODE(LEFT(B1219,1))-64,MID(B1219,2,3)+0)&amp;""</f>
        <v/>
      </c>
      <c r="F1219" s="46"/>
      <c r="G1219" s="47"/>
      <c r="H1219" s="47"/>
    </row>
    <row r="1220" customFormat="false" ht="12.8" hidden="false" customHeight="false" outlineLevel="0" collapsed="false">
      <c r="A1220" s="44" t="n">
        <v>13</v>
      </c>
      <c r="B1220" s="44" t="s">
        <v>224</v>
      </c>
      <c r="C1220" s="44" t="s">
        <v>158</v>
      </c>
      <c r="D1220" s="45" t="str">
        <f aca="true">OFFSET(plates!$B$126,CODE(LEFT(B1220,1))-64,-1)&amp;"-"&amp;OFFSET(plates!$B$106,-1,MID(B1220,2,3)+0)</f>
        <v>bc282-bc500</v>
      </c>
      <c r="E1220" s="46" t="str">
        <f aca="true">OFFSET(plates!$B$126,CODE(LEFT(B1220,1))-64,MID(B1220,2,3)+0)&amp;""</f>
        <v/>
      </c>
      <c r="F1220" s="46"/>
      <c r="G1220" s="47"/>
      <c r="H1220" s="47"/>
    </row>
    <row r="1221" customFormat="false" ht="12.8" hidden="false" customHeight="false" outlineLevel="0" collapsed="false">
      <c r="A1221" s="44" t="n">
        <v>13</v>
      </c>
      <c r="B1221" s="44" t="s">
        <v>225</v>
      </c>
      <c r="C1221" s="44" t="s">
        <v>158</v>
      </c>
      <c r="D1221" s="45" t="str">
        <f aca="true">OFFSET(plates!$B$126,CODE(LEFT(B1221,1))-64,-1)&amp;"-"&amp;OFFSET(plates!$B$106,-1,MID(B1221,2,3)+0)</f>
        <v>bc286-bc500</v>
      </c>
      <c r="E1221" s="46" t="str">
        <f aca="true">OFFSET(plates!$B$126,CODE(LEFT(B1221,1))-64,MID(B1221,2,3)+0)&amp;""</f>
        <v/>
      </c>
      <c r="F1221" s="46"/>
      <c r="G1221" s="47"/>
      <c r="H1221" s="47"/>
    </row>
    <row r="1222" customFormat="false" ht="12.8" hidden="false" customHeight="false" outlineLevel="0" collapsed="false">
      <c r="A1222" s="44" t="n">
        <v>13</v>
      </c>
      <c r="B1222" s="44" t="s">
        <v>226</v>
      </c>
      <c r="C1222" s="44" t="s">
        <v>158</v>
      </c>
      <c r="D1222" s="45" t="str">
        <f aca="true">OFFSET(plates!$B$126,CODE(LEFT(B1222,1))-64,-1)&amp;"-"&amp;OFFSET(plates!$B$106,-1,MID(B1222,2,3)+0)</f>
        <v>bc298-bc500</v>
      </c>
      <c r="E1222" s="46" t="str">
        <f aca="true">OFFSET(plates!$B$126,CODE(LEFT(B1222,1))-64,MID(B1222,2,3)+0)&amp;""</f>
        <v/>
      </c>
      <c r="F1222" s="46"/>
      <c r="G1222" s="47"/>
      <c r="H1222" s="47"/>
    </row>
    <row r="1223" customFormat="false" ht="12.8" hidden="false" customHeight="false" outlineLevel="0" collapsed="false">
      <c r="A1223" s="44" t="n">
        <v>13</v>
      </c>
      <c r="B1223" s="44" t="s">
        <v>227</v>
      </c>
      <c r="C1223" s="44" t="s">
        <v>158</v>
      </c>
      <c r="D1223" s="45" t="str">
        <f aca="true">OFFSET(plates!$B$126,CODE(LEFT(B1223,1))-64,-1)&amp;"-"&amp;OFFSET(plates!$B$106,-1,MID(B1223,2,3)+0)</f>
        <v>bc314-bc500</v>
      </c>
      <c r="E1223" s="46" t="str">
        <f aca="true">OFFSET(plates!$B$126,CODE(LEFT(B1223,1))-64,MID(B1223,2,3)+0)&amp;""</f>
        <v/>
      </c>
      <c r="F1223" s="46"/>
      <c r="G1223" s="47"/>
      <c r="H1223" s="47"/>
    </row>
    <row r="1224" customFormat="false" ht="12.8" hidden="false" customHeight="false" outlineLevel="0" collapsed="false">
      <c r="A1224" s="44" t="n">
        <v>13</v>
      </c>
      <c r="B1224" s="44" t="s">
        <v>228</v>
      </c>
      <c r="C1224" s="44" t="s">
        <v>158</v>
      </c>
      <c r="D1224" s="45" t="str">
        <f aca="true">OFFSET(plates!$B$126,CODE(LEFT(B1224,1))-64,-1)&amp;"-"&amp;OFFSET(plates!$B$106,-1,MID(B1224,2,3)+0)</f>
        <v>bc321-bc500</v>
      </c>
      <c r="E1224" s="46" t="str">
        <f aca="true">OFFSET(plates!$B$126,CODE(LEFT(B1224,1))-64,MID(B1224,2,3)+0)&amp;""</f>
        <v/>
      </c>
      <c r="F1224" s="46"/>
      <c r="G1224" s="47"/>
      <c r="H1224" s="47"/>
    </row>
    <row r="1225" customFormat="false" ht="12.8" hidden="false" customHeight="false" outlineLevel="0" collapsed="false">
      <c r="A1225" s="44" t="n">
        <v>13</v>
      </c>
      <c r="B1225" s="44" t="s">
        <v>229</v>
      </c>
      <c r="C1225" s="44" t="s">
        <v>158</v>
      </c>
      <c r="D1225" s="45" t="str">
        <f aca="true">OFFSET(plates!$B$126,CODE(LEFT(B1225,1))-64,-1)&amp;"-"&amp;OFFSET(plates!$B$106,-1,MID(B1225,2,3)+0)</f>
        <v>bc324-bc500</v>
      </c>
      <c r="E1225" s="46" t="str">
        <f aca="true">OFFSET(plates!$B$126,CODE(LEFT(B1225,1))-64,MID(B1225,2,3)+0)&amp;""</f>
        <v/>
      </c>
      <c r="F1225" s="46"/>
      <c r="G1225" s="47"/>
      <c r="H1225" s="47"/>
    </row>
    <row r="1226" customFormat="false" ht="12.8" hidden="false" customHeight="false" outlineLevel="0" collapsed="false">
      <c r="A1226" s="44" t="n">
        <v>13</v>
      </c>
      <c r="B1226" s="44" t="s">
        <v>230</v>
      </c>
      <c r="C1226" s="44" t="s">
        <v>158</v>
      </c>
      <c r="D1226" s="45" t="str">
        <f aca="true">OFFSET(plates!$B$126,CODE(LEFT(B1226,1))-64,-1)&amp;"-"&amp;OFFSET(plates!$B$106,-1,MID(B1226,2,3)+0)</f>
        <v>bc272-bc508</v>
      </c>
      <c r="E1226" s="46" t="str">
        <f aca="true">OFFSET(plates!$B$126,CODE(LEFT(B1226,1))-64,MID(B1226,2,3)+0)&amp;""</f>
        <v/>
      </c>
      <c r="F1226" s="46"/>
      <c r="G1226" s="47"/>
      <c r="H1226" s="47"/>
    </row>
    <row r="1227" customFormat="false" ht="12.8" hidden="false" customHeight="false" outlineLevel="0" collapsed="false">
      <c r="A1227" s="44" t="n">
        <v>13</v>
      </c>
      <c r="B1227" s="44" t="s">
        <v>231</v>
      </c>
      <c r="C1227" s="44" t="s">
        <v>158</v>
      </c>
      <c r="D1227" s="45" t="str">
        <f aca="true">OFFSET(plates!$B$126,CODE(LEFT(B1227,1))-64,-1)&amp;"-"&amp;OFFSET(plates!$B$106,-1,MID(B1227,2,3)+0)</f>
        <v>bc277-bc508</v>
      </c>
      <c r="E1227" s="46" t="str">
        <f aca="true">OFFSET(plates!$B$126,CODE(LEFT(B1227,1))-64,MID(B1227,2,3)+0)&amp;""</f>
        <v/>
      </c>
      <c r="F1227" s="46"/>
      <c r="G1227" s="47"/>
      <c r="H1227" s="47"/>
    </row>
    <row r="1228" customFormat="false" ht="12.8" hidden="false" customHeight="false" outlineLevel="0" collapsed="false">
      <c r="A1228" s="44" t="n">
        <v>13</v>
      </c>
      <c r="B1228" s="44" t="s">
        <v>232</v>
      </c>
      <c r="C1228" s="44" t="s">
        <v>158</v>
      </c>
      <c r="D1228" s="45" t="str">
        <f aca="true">OFFSET(plates!$B$126,CODE(LEFT(B1228,1))-64,-1)&amp;"-"&amp;OFFSET(plates!$B$106,-1,MID(B1228,2,3)+0)</f>
        <v>bc282-bc508</v>
      </c>
      <c r="E1228" s="46" t="str">
        <f aca="true">OFFSET(plates!$B$126,CODE(LEFT(B1228,1))-64,MID(B1228,2,3)+0)&amp;""</f>
        <v/>
      </c>
      <c r="F1228" s="46"/>
      <c r="G1228" s="47"/>
      <c r="H1228" s="47"/>
    </row>
    <row r="1229" s="48" customFormat="true" ht="12.8" hidden="false" customHeight="false" outlineLevel="0" collapsed="false">
      <c r="A1229" s="44" t="n">
        <v>13</v>
      </c>
      <c r="B1229" s="44" t="s">
        <v>233</v>
      </c>
      <c r="C1229" s="44" t="s">
        <v>158</v>
      </c>
      <c r="D1229" s="45" t="str">
        <f aca="true">OFFSET(plates!$B$126,CODE(LEFT(B1229,1))-64,-1)&amp;"-"&amp;OFFSET(plates!$B$106,-1,MID(B1229,2,3)+0)</f>
        <v>bc286-bc508</v>
      </c>
      <c r="E1229" s="46" t="str">
        <f aca="true">OFFSET(plates!$B$126,CODE(LEFT(B1229,1))-64,MID(B1229,2,3)+0)&amp;""</f>
        <v/>
      </c>
      <c r="F1229" s="46"/>
      <c r="G1229" s="47"/>
      <c r="H1229" s="47"/>
      <c r="I1229" s="36"/>
      <c r="J1229" s="36"/>
      <c r="K1229" s="36"/>
      <c r="L1229" s="36"/>
      <c r="M1229" s="36"/>
    </row>
    <row r="1230" customFormat="false" ht="12.8" hidden="false" customHeight="false" outlineLevel="0" collapsed="false">
      <c r="A1230" s="44" t="n">
        <v>13</v>
      </c>
      <c r="B1230" s="44" t="s">
        <v>234</v>
      </c>
      <c r="C1230" s="44" t="s">
        <v>158</v>
      </c>
      <c r="D1230" s="45" t="str">
        <f aca="true">OFFSET(plates!$B$126,CODE(LEFT(B1230,1))-64,-1)&amp;"-"&amp;OFFSET(plates!$B$106,-1,MID(B1230,2,3)+0)</f>
        <v>bc298-bc508</v>
      </c>
      <c r="E1230" s="46" t="str">
        <f aca="true">OFFSET(plates!$B$126,CODE(LEFT(B1230,1))-64,MID(B1230,2,3)+0)&amp;""</f>
        <v/>
      </c>
      <c r="F1230" s="46"/>
      <c r="G1230" s="47"/>
      <c r="H1230" s="47"/>
    </row>
    <row r="1231" customFormat="false" ht="12.8" hidden="false" customHeight="false" outlineLevel="0" collapsed="false">
      <c r="A1231" s="44" t="n">
        <v>13</v>
      </c>
      <c r="B1231" s="44" t="s">
        <v>235</v>
      </c>
      <c r="C1231" s="44" t="s">
        <v>158</v>
      </c>
      <c r="D1231" s="45" t="str">
        <f aca="true">OFFSET(plates!$B$126,CODE(LEFT(B1231,1))-64,-1)&amp;"-"&amp;OFFSET(plates!$B$106,-1,MID(B1231,2,3)+0)</f>
        <v>bc314-bc508</v>
      </c>
      <c r="E1231" s="46" t="str">
        <f aca="true">OFFSET(plates!$B$126,CODE(LEFT(B1231,1))-64,MID(B1231,2,3)+0)&amp;""</f>
        <v/>
      </c>
      <c r="F1231" s="46"/>
      <c r="G1231" s="47"/>
      <c r="H1231" s="47"/>
    </row>
    <row r="1232" customFormat="false" ht="12.8" hidden="false" customHeight="false" outlineLevel="0" collapsed="false">
      <c r="A1232" s="44" t="n">
        <v>13</v>
      </c>
      <c r="B1232" s="44" t="s">
        <v>236</v>
      </c>
      <c r="C1232" s="44" t="s">
        <v>158</v>
      </c>
      <c r="D1232" s="45" t="str">
        <f aca="true">OFFSET(plates!$B$126,CODE(LEFT(B1232,1))-64,-1)&amp;"-"&amp;OFFSET(plates!$B$106,-1,MID(B1232,2,3)+0)</f>
        <v>bc321-bc508</v>
      </c>
      <c r="E1232" s="46" t="str">
        <f aca="true">OFFSET(plates!$B$126,CODE(LEFT(B1232,1))-64,MID(B1232,2,3)+0)&amp;""</f>
        <v/>
      </c>
      <c r="F1232" s="46"/>
      <c r="G1232" s="47"/>
      <c r="H1232" s="47"/>
    </row>
    <row r="1233" customFormat="false" ht="12.8" hidden="false" customHeight="false" outlineLevel="0" collapsed="false">
      <c r="A1233" s="44" t="n">
        <v>13</v>
      </c>
      <c r="B1233" s="44" t="s">
        <v>237</v>
      </c>
      <c r="C1233" s="44" t="s">
        <v>158</v>
      </c>
      <c r="D1233" s="45" t="str">
        <f aca="true">OFFSET(plates!$B$126,CODE(LEFT(B1233,1))-64,-1)&amp;"-"&amp;OFFSET(plates!$B$106,-1,MID(B1233,2,3)+0)</f>
        <v>bc324-bc508</v>
      </c>
      <c r="E1233" s="46" t="str">
        <f aca="true">OFFSET(plates!$B$126,CODE(LEFT(B1233,1))-64,MID(B1233,2,3)+0)&amp;""</f>
        <v/>
      </c>
      <c r="F1233" s="46"/>
      <c r="G1233" s="47"/>
      <c r="H1233" s="47"/>
    </row>
    <row r="1234" customFormat="false" ht="12.8" hidden="false" customHeight="false" outlineLevel="0" collapsed="false">
      <c r="A1234" s="44" t="n">
        <v>13</v>
      </c>
      <c r="B1234" s="44" t="s">
        <v>238</v>
      </c>
      <c r="C1234" s="44" t="s">
        <v>158</v>
      </c>
      <c r="D1234" s="45" t="str">
        <f aca="true">OFFSET(plates!$B$126,CODE(LEFT(B1234,1))-64,-1)&amp;"-"&amp;OFFSET(plates!$B$106,-1,MID(B1234,2,3)+0)</f>
        <v>bc272-bc516</v>
      </c>
      <c r="E1234" s="46" t="str">
        <f aca="true">OFFSET(plates!$B$126,CODE(LEFT(B1234,1))-64,MID(B1234,2,3)+0)&amp;""</f>
        <v/>
      </c>
      <c r="F1234" s="46"/>
      <c r="G1234" s="47"/>
      <c r="H1234" s="47"/>
    </row>
    <row r="1235" customFormat="false" ht="12.8" hidden="false" customHeight="false" outlineLevel="0" collapsed="false">
      <c r="A1235" s="44" t="n">
        <v>13</v>
      </c>
      <c r="B1235" s="44" t="s">
        <v>239</v>
      </c>
      <c r="C1235" s="44" t="s">
        <v>158</v>
      </c>
      <c r="D1235" s="45" t="str">
        <f aca="true">OFFSET(plates!$B$126,CODE(LEFT(B1235,1))-64,-1)&amp;"-"&amp;OFFSET(plates!$B$106,-1,MID(B1235,2,3)+0)</f>
        <v>bc277-bc516</v>
      </c>
      <c r="E1235" s="46" t="str">
        <f aca="true">OFFSET(plates!$B$126,CODE(LEFT(B1235,1))-64,MID(B1235,2,3)+0)&amp;""</f>
        <v/>
      </c>
      <c r="F1235" s="46"/>
      <c r="G1235" s="47"/>
      <c r="H1235" s="47"/>
    </row>
    <row r="1236" customFormat="false" ht="12.8" hidden="false" customHeight="false" outlineLevel="0" collapsed="false">
      <c r="A1236" s="44" t="n">
        <v>13</v>
      </c>
      <c r="B1236" s="44" t="s">
        <v>240</v>
      </c>
      <c r="C1236" s="44" t="s">
        <v>158</v>
      </c>
      <c r="D1236" s="45" t="str">
        <f aca="true">OFFSET(plates!$B$126,CODE(LEFT(B1236,1))-64,-1)&amp;"-"&amp;OFFSET(plates!$B$106,-1,MID(B1236,2,3)+0)</f>
        <v>bc282-bc516</v>
      </c>
      <c r="E1236" s="46" t="str">
        <f aca="true">OFFSET(plates!$B$126,CODE(LEFT(B1236,1))-64,MID(B1236,2,3)+0)&amp;""</f>
        <v/>
      </c>
      <c r="F1236" s="46"/>
      <c r="G1236" s="47"/>
      <c r="H1236" s="47"/>
    </row>
    <row r="1237" customFormat="false" ht="12.8" hidden="false" customHeight="false" outlineLevel="0" collapsed="false">
      <c r="A1237" s="44" t="n">
        <v>13</v>
      </c>
      <c r="B1237" s="44" t="s">
        <v>241</v>
      </c>
      <c r="C1237" s="44" t="s">
        <v>158</v>
      </c>
      <c r="D1237" s="45" t="str">
        <f aca="true">OFFSET(plates!$B$126,CODE(LEFT(B1237,1))-64,-1)&amp;"-"&amp;OFFSET(plates!$B$106,-1,MID(B1237,2,3)+0)</f>
        <v>bc286-bc516</v>
      </c>
      <c r="E1237" s="46" t="str">
        <f aca="true">OFFSET(plates!$B$126,CODE(LEFT(B1237,1))-64,MID(B1237,2,3)+0)&amp;""</f>
        <v/>
      </c>
      <c r="F1237" s="46"/>
      <c r="G1237" s="47"/>
      <c r="H1237" s="47"/>
    </row>
    <row r="1238" customFormat="false" ht="12.8" hidden="false" customHeight="false" outlineLevel="0" collapsed="false">
      <c r="A1238" s="44" t="n">
        <v>13</v>
      </c>
      <c r="B1238" s="44" t="s">
        <v>242</v>
      </c>
      <c r="C1238" s="44" t="s">
        <v>158</v>
      </c>
      <c r="D1238" s="45" t="str">
        <f aca="true">OFFSET(plates!$B$126,CODE(LEFT(B1238,1))-64,-1)&amp;"-"&amp;OFFSET(plates!$B$106,-1,MID(B1238,2,3)+0)</f>
        <v>bc298-bc516</v>
      </c>
      <c r="E1238" s="46" t="str">
        <f aca="true">OFFSET(plates!$B$126,CODE(LEFT(B1238,1))-64,MID(B1238,2,3)+0)&amp;""</f>
        <v/>
      </c>
      <c r="F1238" s="46"/>
      <c r="G1238" s="47"/>
      <c r="H1238" s="47"/>
    </row>
    <row r="1239" customFormat="false" ht="12.8" hidden="false" customHeight="false" outlineLevel="0" collapsed="false">
      <c r="A1239" s="44" t="n">
        <v>13</v>
      </c>
      <c r="B1239" s="44" t="s">
        <v>243</v>
      </c>
      <c r="C1239" s="44" t="s">
        <v>158</v>
      </c>
      <c r="D1239" s="45" t="str">
        <f aca="true">OFFSET(plates!$B$126,CODE(LEFT(B1239,1))-64,-1)&amp;"-"&amp;OFFSET(plates!$B$106,-1,MID(B1239,2,3)+0)</f>
        <v>bc314-bc516</v>
      </c>
      <c r="E1239" s="46" t="str">
        <f aca="true">OFFSET(plates!$B$126,CODE(LEFT(B1239,1))-64,MID(B1239,2,3)+0)&amp;""</f>
        <v/>
      </c>
      <c r="F1239" s="46"/>
      <c r="G1239" s="47"/>
      <c r="H1239" s="47"/>
    </row>
    <row r="1240" customFormat="false" ht="12.8" hidden="false" customHeight="false" outlineLevel="0" collapsed="false">
      <c r="A1240" s="44" t="n">
        <v>13</v>
      </c>
      <c r="B1240" s="44" t="s">
        <v>244</v>
      </c>
      <c r="C1240" s="44" t="s">
        <v>158</v>
      </c>
      <c r="D1240" s="45" t="str">
        <f aca="true">OFFSET(plates!$B$126,CODE(LEFT(B1240,1))-64,-1)&amp;"-"&amp;OFFSET(plates!$B$106,-1,MID(B1240,2,3)+0)</f>
        <v>bc321-bc516</v>
      </c>
      <c r="E1240" s="46" t="str">
        <f aca="true">OFFSET(plates!$B$126,CODE(LEFT(B1240,1))-64,MID(B1240,2,3)+0)&amp;""</f>
        <v/>
      </c>
      <c r="F1240" s="46"/>
      <c r="G1240" s="47"/>
      <c r="H1240" s="47"/>
    </row>
    <row r="1241" customFormat="false" ht="12.8" hidden="false" customHeight="false" outlineLevel="0" collapsed="false">
      <c r="A1241" s="44" t="n">
        <v>13</v>
      </c>
      <c r="B1241" s="44" t="s">
        <v>245</v>
      </c>
      <c r="C1241" s="44" t="s">
        <v>158</v>
      </c>
      <c r="D1241" s="45" t="str">
        <f aca="true">OFFSET(plates!$B$126,CODE(LEFT(B1241,1))-64,-1)&amp;"-"&amp;OFFSET(plates!$B$106,-1,MID(B1241,2,3)+0)</f>
        <v>bc324-bc516</v>
      </c>
      <c r="E1241" s="46" t="str">
        <f aca="true">OFFSET(plates!$B$126,CODE(LEFT(B1241,1))-64,MID(B1241,2,3)+0)&amp;""</f>
        <v/>
      </c>
      <c r="F1241" s="46"/>
      <c r="G1241" s="47"/>
      <c r="H1241" s="47"/>
    </row>
    <row r="1242" customFormat="false" ht="12.8" hidden="false" customHeight="false" outlineLevel="0" collapsed="false">
      <c r="A1242" s="44" t="n">
        <v>13</v>
      </c>
      <c r="B1242" s="44" t="s">
        <v>246</v>
      </c>
      <c r="C1242" s="44" t="s">
        <v>158</v>
      </c>
      <c r="D1242" s="45" t="str">
        <f aca="true">OFFSET(plates!$B$126,CODE(LEFT(B1242,1))-64,-1)&amp;"-"&amp;OFFSET(plates!$B$106,-1,MID(B1242,2,3)+0)</f>
        <v>bc272-bc538</v>
      </c>
      <c r="E1242" s="46" t="str">
        <f aca="true">OFFSET(plates!$B$126,CODE(LEFT(B1242,1))-64,MID(B1242,2,3)+0)&amp;""</f>
        <v/>
      </c>
      <c r="F1242" s="46"/>
      <c r="G1242" s="47"/>
      <c r="H1242" s="47"/>
    </row>
    <row r="1243" customFormat="false" ht="12.8" hidden="false" customHeight="false" outlineLevel="0" collapsed="false">
      <c r="A1243" s="44" t="n">
        <v>13</v>
      </c>
      <c r="B1243" s="44" t="s">
        <v>247</v>
      </c>
      <c r="C1243" s="44" t="s">
        <v>158</v>
      </c>
      <c r="D1243" s="45" t="str">
        <f aca="true">OFFSET(plates!$B$126,CODE(LEFT(B1243,1))-64,-1)&amp;"-"&amp;OFFSET(plates!$B$106,-1,MID(B1243,2,3)+0)</f>
        <v>bc277-bc538</v>
      </c>
      <c r="E1243" s="46" t="str">
        <f aca="true">OFFSET(plates!$B$126,CODE(LEFT(B1243,1))-64,MID(B1243,2,3)+0)&amp;""</f>
        <v/>
      </c>
      <c r="F1243" s="46"/>
      <c r="G1243" s="47"/>
      <c r="H1243" s="47"/>
    </row>
    <row r="1244" customFormat="false" ht="12.8" hidden="false" customHeight="false" outlineLevel="0" collapsed="false">
      <c r="A1244" s="44" t="n">
        <v>13</v>
      </c>
      <c r="B1244" s="44" t="s">
        <v>248</v>
      </c>
      <c r="C1244" s="44" t="s">
        <v>158</v>
      </c>
      <c r="D1244" s="45" t="str">
        <f aca="true">OFFSET(plates!$B$126,CODE(LEFT(B1244,1))-64,-1)&amp;"-"&amp;OFFSET(plates!$B$106,-1,MID(B1244,2,3)+0)</f>
        <v>bc282-bc538</v>
      </c>
      <c r="E1244" s="46" t="str">
        <f aca="true">OFFSET(plates!$B$126,CODE(LEFT(B1244,1))-64,MID(B1244,2,3)+0)&amp;""</f>
        <v/>
      </c>
      <c r="F1244" s="46"/>
      <c r="G1244" s="47"/>
      <c r="H1244" s="47"/>
    </row>
    <row r="1245" customFormat="false" ht="12.8" hidden="false" customHeight="false" outlineLevel="0" collapsed="false">
      <c r="A1245" s="44" t="n">
        <v>13</v>
      </c>
      <c r="B1245" s="44" t="s">
        <v>249</v>
      </c>
      <c r="C1245" s="44" t="s">
        <v>158</v>
      </c>
      <c r="D1245" s="45" t="str">
        <f aca="true">OFFSET(plates!$B$126,CODE(LEFT(B1245,1))-64,-1)&amp;"-"&amp;OFFSET(plates!$B$106,-1,MID(B1245,2,3)+0)</f>
        <v>bc286-bc538</v>
      </c>
      <c r="E1245" s="46" t="str">
        <f aca="true">OFFSET(plates!$B$126,CODE(LEFT(B1245,1))-64,MID(B1245,2,3)+0)&amp;""</f>
        <v/>
      </c>
      <c r="F1245" s="46"/>
      <c r="G1245" s="47"/>
      <c r="H1245" s="47"/>
    </row>
    <row r="1246" customFormat="false" ht="12.8" hidden="false" customHeight="false" outlineLevel="0" collapsed="false">
      <c r="A1246" s="44" t="n">
        <v>13</v>
      </c>
      <c r="B1246" s="44" t="s">
        <v>250</v>
      </c>
      <c r="C1246" s="44" t="s">
        <v>158</v>
      </c>
      <c r="D1246" s="45" t="str">
        <f aca="true">OFFSET(plates!$B$126,CODE(LEFT(B1246,1))-64,-1)&amp;"-"&amp;OFFSET(plates!$B$106,-1,MID(B1246,2,3)+0)</f>
        <v>bc298-bc538</v>
      </c>
      <c r="E1246" s="46" t="str">
        <f aca="true">OFFSET(plates!$B$126,CODE(LEFT(B1246,1))-64,MID(B1246,2,3)+0)&amp;""</f>
        <v/>
      </c>
      <c r="F1246" s="46"/>
      <c r="G1246" s="47"/>
      <c r="H1246" s="47"/>
    </row>
    <row r="1247" customFormat="false" ht="12.8" hidden="false" customHeight="false" outlineLevel="0" collapsed="false">
      <c r="A1247" s="44" t="n">
        <v>13</v>
      </c>
      <c r="B1247" s="44" t="s">
        <v>251</v>
      </c>
      <c r="C1247" s="44" t="s">
        <v>158</v>
      </c>
      <c r="D1247" s="45" t="str">
        <f aca="true">OFFSET(plates!$B$126,CODE(LEFT(B1247,1))-64,-1)&amp;"-"&amp;OFFSET(plates!$B$106,-1,MID(B1247,2,3)+0)</f>
        <v>bc314-bc538</v>
      </c>
      <c r="E1247" s="46" t="str">
        <f aca="true">OFFSET(plates!$B$126,CODE(LEFT(B1247,1))-64,MID(B1247,2,3)+0)&amp;""</f>
        <v/>
      </c>
      <c r="F1247" s="46"/>
      <c r="G1247" s="47"/>
      <c r="H1247" s="47"/>
      <c r="I1247" s="36"/>
      <c r="J1247" s="36"/>
      <c r="K1247" s="36"/>
      <c r="L1247" s="36"/>
      <c r="M1247" s="36"/>
    </row>
    <row r="1248" customFormat="false" ht="12.8" hidden="false" customHeight="false" outlineLevel="0" collapsed="false">
      <c r="A1248" s="44" t="n">
        <v>13</v>
      </c>
      <c r="B1248" s="44" t="s">
        <v>252</v>
      </c>
      <c r="C1248" s="44" t="s">
        <v>158</v>
      </c>
      <c r="D1248" s="45" t="str">
        <f aca="true">OFFSET(plates!$B$126,CODE(LEFT(B1248,1))-64,-1)&amp;"-"&amp;OFFSET(plates!$B$106,-1,MID(B1248,2,3)+0)</f>
        <v>bc321-bc538</v>
      </c>
      <c r="E1248" s="46" t="str">
        <f aca="true">OFFSET(plates!$B$126,CODE(LEFT(B1248,1))-64,MID(B1248,2,3)+0)&amp;""</f>
        <v/>
      </c>
      <c r="F1248" s="46"/>
      <c r="G1248" s="47"/>
      <c r="H1248" s="47"/>
    </row>
    <row r="1249" customFormat="false" ht="12.8" hidden="false" customHeight="false" outlineLevel="0" collapsed="false">
      <c r="A1249" s="44" t="n">
        <v>13</v>
      </c>
      <c r="B1249" s="44" t="s">
        <v>253</v>
      </c>
      <c r="C1249" s="44" t="s">
        <v>158</v>
      </c>
      <c r="D1249" s="45" t="str">
        <f aca="true">OFFSET(plates!$B$126,CODE(LEFT(B1249,1))-64,-1)&amp;"-"&amp;OFFSET(plates!$B$106,-1,MID(B1249,2,3)+0)</f>
        <v>bc324-bc538</v>
      </c>
      <c r="E1249" s="46" t="str">
        <f aca="true">OFFSET(plates!$B$126,CODE(LEFT(B1249,1))-64,MID(B1249,2,3)+0)&amp;""</f>
        <v/>
      </c>
      <c r="F1249" s="46"/>
      <c r="G1249" s="47"/>
      <c r="H1249" s="47"/>
      <c r="I1249" s="36"/>
      <c r="J1249" s="36"/>
      <c r="K1249" s="36"/>
    </row>
    <row r="1250" customFormat="false" ht="12.8" hidden="false" customHeight="false" outlineLevel="0" collapsed="false">
      <c r="A1250" s="44" t="n">
        <v>14</v>
      </c>
      <c r="B1250" s="44" t="s">
        <v>157</v>
      </c>
      <c r="C1250" s="44" t="s">
        <v>158</v>
      </c>
      <c r="D1250" s="45" t="str">
        <f aca="true">OFFSET(plates!$B$136,CODE(LEFT(B1250,1))-64,-1)&amp;"-"&amp;OFFSET(plates!$B$106,-1,MID(B1250,2,3)+0)</f>
        <v>bc327-bc411</v>
      </c>
      <c r="E1250" s="46" t="str">
        <f aca="true">OFFSET(plates!$B$136,CODE(LEFT(B1250,1))-64,MID(B1250,2,3)+0)&amp;""</f>
        <v/>
      </c>
      <c r="F1250" s="46"/>
      <c r="G1250" s="47"/>
      <c r="H1250" s="47"/>
    </row>
    <row r="1251" customFormat="false" ht="12.8" hidden="false" customHeight="false" outlineLevel="0" collapsed="false">
      <c r="A1251" s="44" t="n">
        <v>14</v>
      </c>
      <c r="B1251" s="44" t="s">
        <v>159</v>
      </c>
      <c r="C1251" s="44" t="s">
        <v>158</v>
      </c>
      <c r="D1251" s="45" t="str">
        <f aca="true">OFFSET(plates!$B$136,CODE(LEFT(B1251,1))-64,-1)&amp;"-"&amp;OFFSET(plates!$B$106,-1,MID(B1251,2,3)+0)</f>
        <v>bc357-bc411</v>
      </c>
      <c r="E1251" s="46" t="str">
        <f aca="true">OFFSET(plates!$B$136,CODE(LEFT(B1251,1))-64,MID(B1251,2,3)+0)&amp;""</f>
        <v/>
      </c>
      <c r="F1251" s="46"/>
      <c r="G1251" s="47"/>
      <c r="H1251" s="47"/>
    </row>
    <row r="1252" customFormat="false" ht="12.8" hidden="false" customHeight="false" outlineLevel="0" collapsed="false">
      <c r="A1252" s="44" t="n">
        <v>14</v>
      </c>
      <c r="B1252" s="44" t="s">
        <v>160</v>
      </c>
      <c r="C1252" s="44" t="s">
        <v>158</v>
      </c>
      <c r="D1252" s="45" t="str">
        <f aca="true">OFFSET(plates!$B$136,CODE(LEFT(B1252,1))-64,-1)&amp;"-"&amp;OFFSET(plates!$B$106,-1,MID(B1252,2,3)+0)</f>
        <v>bc361-bc411</v>
      </c>
      <c r="E1252" s="46" t="str">
        <f aca="true">OFFSET(plates!$B$136,CODE(LEFT(B1252,1))-64,MID(B1252,2,3)+0)&amp;""</f>
        <v/>
      </c>
      <c r="F1252" s="46"/>
      <c r="G1252" s="47"/>
      <c r="H1252" s="47"/>
    </row>
    <row r="1253" customFormat="false" ht="12.8" hidden="false" customHeight="false" outlineLevel="0" collapsed="false">
      <c r="A1253" s="44" t="n">
        <v>14</v>
      </c>
      <c r="B1253" s="44" t="s">
        <v>161</v>
      </c>
      <c r="C1253" s="44" t="s">
        <v>158</v>
      </c>
      <c r="D1253" s="45" t="str">
        <f aca="true">OFFSET(plates!$B$136,CODE(LEFT(B1253,1))-64,-1)&amp;"-"&amp;OFFSET(plates!$B$106,-1,MID(B1253,2,3)+0)</f>
        <v>bc362-bc411</v>
      </c>
      <c r="E1253" s="46" t="str">
        <f aca="true">OFFSET(plates!$B$136,CODE(LEFT(B1253,1))-64,MID(B1253,2,3)+0)&amp;""</f>
        <v/>
      </c>
      <c r="F1253" s="46"/>
      <c r="G1253" s="47"/>
      <c r="H1253" s="47"/>
    </row>
    <row r="1254" customFormat="false" ht="12.8" hidden="false" customHeight="false" outlineLevel="0" collapsed="false">
      <c r="A1254" s="44" t="n">
        <v>14</v>
      </c>
      <c r="B1254" s="44" t="s">
        <v>162</v>
      </c>
      <c r="C1254" s="44" t="s">
        <v>158</v>
      </c>
      <c r="D1254" s="45" t="str">
        <f aca="true">OFFSET(plates!$B$136,CODE(LEFT(B1254,1))-64,-1)&amp;"-"&amp;OFFSET(plates!$B$106,-1,MID(B1254,2,3)+0)</f>
        <v>bc368-bc411</v>
      </c>
      <c r="E1254" s="46" t="str">
        <f aca="true">OFFSET(plates!$B$136,CODE(LEFT(B1254,1))-64,MID(B1254,2,3)+0)&amp;""</f>
        <v/>
      </c>
      <c r="F1254" s="46"/>
      <c r="G1254" s="47"/>
      <c r="H1254" s="47"/>
    </row>
    <row r="1255" customFormat="false" ht="12.8" hidden="false" customHeight="false" outlineLevel="0" collapsed="false">
      <c r="A1255" s="44" t="n">
        <v>14</v>
      </c>
      <c r="B1255" s="44" t="s">
        <v>163</v>
      </c>
      <c r="C1255" s="44" t="s">
        <v>158</v>
      </c>
      <c r="D1255" s="45" t="str">
        <f aca="true">OFFSET(plates!$B$136,CODE(LEFT(B1255,1))-64,-1)&amp;"-"&amp;OFFSET(plates!$B$106,-1,MID(B1255,2,3)+0)</f>
        <v>bc370-bc411</v>
      </c>
      <c r="E1255" s="46" t="str">
        <f aca="true">OFFSET(plates!$B$136,CODE(LEFT(B1255,1))-64,MID(B1255,2,3)+0)&amp;""</f>
        <v/>
      </c>
      <c r="F1255" s="46"/>
      <c r="G1255" s="47"/>
      <c r="H1255" s="47"/>
    </row>
    <row r="1256" customFormat="false" ht="12.8" hidden="false" customHeight="false" outlineLevel="0" collapsed="false">
      <c r="A1256" s="44" t="n">
        <v>14</v>
      </c>
      <c r="B1256" s="44" t="s">
        <v>164</v>
      </c>
      <c r="C1256" s="44" t="s">
        <v>158</v>
      </c>
      <c r="D1256" s="45" t="str">
        <f aca="true">OFFSET(plates!$B$136,CODE(LEFT(B1256,1))-64,-1)&amp;"-"&amp;OFFSET(plates!$B$106,-1,MID(B1256,2,3)+0)</f>
        <v>bc377-bc411</v>
      </c>
      <c r="E1256" s="46" t="str">
        <f aca="true">OFFSET(plates!$B$136,CODE(LEFT(B1256,1))-64,MID(B1256,2,3)+0)&amp;""</f>
        <v/>
      </c>
      <c r="F1256" s="46"/>
      <c r="G1256" s="47"/>
      <c r="H1256" s="47"/>
    </row>
    <row r="1257" customFormat="false" ht="12.8" hidden="false" customHeight="false" outlineLevel="0" collapsed="false">
      <c r="A1257" s="44" t="n">
        <v>14</v>
      </c>
      <c r="B1257" s="44" t="s">
        <v>165</v>
      </c>
      <c r="C1257" s="44" t="s">
        <v>158</v>
      </c>
      <c r="D1257" s="45" t="str">
        <f aca="true">OFFSET(plates!$B$136,CODE(LEFT(B1257,1))-64,-1)&amp;"-"&amp;OFFSET(plates!$B$106,-1,MID(B1257,2,3)+0)</f>
        <v>bc406-bc411</v>
      </c>
      <c r="E1257" s="46" t="str">
        <f aca="true">OFFSET(plates!$B$136,CODE(LEFT(B1257,1))-64,MID(B1257,2,3)+0)&amp;""</f>
        <v/>
      </c>
      <c r="F1257" s="46"/>
      <c r="G1257" s="47"/>
      <c r="H1257" s="47"/>
    </row>
    <row r="1258" customFormat="false" ht="12.8" hidden="false" customHeight="false" outlineLevel="0" collapsed="false">
      <c r="A1258" s="44" t="n">
        <v>14</v>
      </c>
      <c r="B1258" s="44" t="s">
        <v>166</v>
      </c>
      <c r="C1258" s="44" t="s">
        <v>158</v>
      </c>
      <c r="D1258" s="45" t="str">
        <f aca="true">OFFSET(plates!$B$136,CODE(LEFT(B1258,1))-64,-1)&amp;"-"&amp;OFFSET(plates!$B$106,-1,MID(B1258,2,3)+0)</f>
        <v>bc327-bc413</v>
      </c>
      <c r="E1258" s="46" t="str">
        <f aca="true">OFFSET(plates!$B$136,CODE(LEFT(B1258,1))-64,MID(B1258,2,3)+0)&amp;""</f>
        <v/>
      </c>
      <c r="F1258" s="46"/>
      <c r="G1258" s="47"/>
      <c r="H1258" s="47"/>
    </row>
    <row r="1259" customFormat="false" ht="12.8" hidden="false" customHeight="false" outlineLevel="0" collapsed="false">
      <c r="A1259" s="44" t="n">
        <v>14</v>
      </c>
      <c r="B1259" s="44" t="s">
        <v>167</v>
      </c>
      <c r="C1259" s="44" t="s">
        <v>158</v>
      </c>
      <c r="D1259" s="45" t="str">
        <f aca="true">OFFSET(plates!$B$136,CODE(LEFT(B1259,1))-64,-1)&amp;"-"&amp;OFFSET(plates!$B$106,-1,MID(B1259,2,3)+0)</f>
        <v>bc357-bc413</v>
      </c>
      <c r="E1259" s="46" t="str">
        <f aca="true">OFFSET(plates!$B$136,CODE(LEFT(B1259,1))-64,MID(B1259,2,3)+0)&amp;""</f>
        <v/>
      </c>
      <c r="F1259" s="46"/>
      <c r="G1259" s="47"/>
      <c r="H1259" s="47"/>
    </row>
    <row r="1260" customFormat="false" ht="12.8" hidden="false" customHeight="false" outlineLevel="0" collapsed="false">
      <c r="A1260" s="44" t="n">
        <v>14</v>
      </c>
      <c r="B1260" s="44" t="s">
        <v>168</v>
      </c>
      <c r="C1260" s="44" t="s">
        <v>158</v>
      </c>
      <c r="D1260" s="45" t="str">
        <f aca="true">OFFSET(plates!$B$136,CODE(LEFT(B1260,1))-64,-1)&amp;"-"&amp;OFFSET(plates!$B$106,-1,MID(B1260,2,3)+0)</f>
        <v>bc361-bc413</v>
      </c>
      <c r="E1260" s="46" t="str">
        <f aca="true">OFFSET(plates!$B$136,CODE(LEFT(B1260,1))-64,MID(B1260,2,3)+0)&amp;""</f>
        <v/>
      </c>
      <c r="F1260" s="46"/>
      <c r="G1260" s="47"/>
      <c r="H1260" s="47"/>
    </row>
    <row r="1261" customFormat="false" ht="12.8" hidden="false" customHeight="false" outlineLevel="0" collapsed="false">
      <c r="A1261" s="44" t="n">
        <v>14</v>
      </c>
      <c r="B1261" s="44" t="s">
        <v>169</v>
      </c>
      <c r="C1261" s="44" t="s">
        <v>158</v>
      </c>
      <c r="D1261" s="45" t="str">
        <f aca="true">OFFSET(plates!$B$136,CODE(LEFT(B1261,1))-64,-1)&amp;"-"&amp;OFFSET(plates!$B$106,-1,MID(B1261,2,3)+0)</f>
        <v>bc362-bc413</v>
      </c>
      <c r="E1261" s="46" t="str">
        <f aca="true">OFFSET(plates!$B$136,CODE(LEFT(B1261,1))-64,MID(B1261,2,3)+0)&amp;""</f>
        <v/>
      </c>
      <c r="F1261" s="46"/>
      <c r="G1261" s="47"/>
      <c r="H1261" s="47"/>
    </row>
    <row r="1262" customFormat="false" ht="12.8" hidden="false" customHeight="false" outlineLevel="0" collapsed="false">
      <c r="A1262" s="44" t="n">
        <v>14</v>
      </c>
      <c r="B1262" s="44" t="s">
        <v>170</v>
      </c>
      <c r="C1262" s="44" t="s">
        <v>158</v>
      </c>
      <c r="D1262" s="45" t="str">
        <f aca="true">OFFSET(plates!$B$136,CODE(LEFT(B1262,1))-64,-1)&amp;"-"&amp;OFFSET(plates!$B$106,-1,MID(B1262,2,3)+0)</f>
        <v>bc368-bc413</v>
      </c>
      <c r="E1262" s="46" t="str">
        <f aca="true">OFFSET(plates!$B$136,CODE(LEFT(B1262,1))-64,MID(B1262,2,3)+0)&amp;""</f>
        <v/>
      </c>
      <c r="F1262" s="46"/>
      <c r="G1262" s="47"/>
      <c r="H1262" s="47"/>
    </row>
    <row r="1263" customFormat="false" ht="12.8" hidden="false" customHeight="false" outlineLevel="0" collapsed="false">
      <c r="A1263" s="44" t="n">
        <v>14</v>
      </c>
      <c r="B1263" s="44" t="s">
        <v>171</v>
      </c>
      <c r="C1263" s="44" t="s">
        <v>158</v>
      </c>
      <c r="D1263" s="45" t="str">
        <f aca="true">OFFSET(plates!$B$136,CODE(LEFT(B1263,1))-64,-1)&amp;"-"&amp;OFFSET(plates!$B$106,-1,MID(B1263,2,3)+0)</f>
        <v>bc370-bc413</v>
      </c>
      <c r="E1263" s="46" t="str">
        <f aca="true">OFFSET(plates!$B$136,CODE(LEFT(B1263,1))-64,MID(B1263,2,3)+0)&amp;""</f>
        <v/>
      </c>
      <c r="F1263" s="46"/>
      <c r="G1263" s="47"/>
      <c r="H1263" s="47"/>
    </row>
    <row r="1264" customFormat="false" ht="12.8" hidden="false" customHeight="false" outlineLevel="0" collapsed="false">
      <c r="A1264" s="44" t="n">
        <v>14</v>
      </c>
      <c r="B1264" s="44" t="s">
        <v>172</v>
      </c>
      <c r="C1264" s="44" t="s">
        <v>158</v>
      </c>
      <c r="D1264" s="45" t="str">
        <f aca="true">OFFSET(plates!$B$136,CODE(LEFT(B1264,1))-64,-1)&amp;"-"&amp;OFFSET(plates!$B$106,-1,MID(B1264,2,3)+0)</f>
        <v>bc377-bc413</v>
      </c>
      <c r="E1264" s="46" t="str">
        <f aca="true">OFFSET(plates!$B$136,CODE(LEFT(B1264,1))-64,MID(B1264,2,3)+0)&amp;""</f>
        <v/>
      </c>
      <c r="F1264" s="46"/>
      <c r="G1264" s="47"/>
      <c r="H1264" s="47"/>
    </row>
    <row r="1265" customFormat="false" ht="12.8" hidden="false" customHeight="false" outlineLevel="0" collapsed="false">
      <c r="A1265" s="44" t="n">
        <v>14</v>
      </c>
      <c r="B1265" s="44" t="s">
        <v>173</v>
      </c>
      <c r="C1265" s="44" t="s">
        <v>158</v>
      </c>
      <c r="D1265" s="45" t="str">
        <f aca="true">OFFSET(plates!$B$136,CODE(LEFT(B1265,1))-64,-1)&amp;"-"&amp;OFFSET(plates!$B$106,-1,MID(B1265,2,3)+0)</f>
        <v>bc406-bc413</v>
      </c>
      <c r="E1265" s="46" t="str">
        <f aca="true">OFFSET(plates!$B$136,CODE(LEFT(B1265,1))-64,MID(B1265,2,3)+0)&amp;""</f>
        <v/>
      </c>
      <c r="F1265" s="46"/>
      <c r="G1265" s="47"/>
      <c r="H1265" s="47"/>
    </row>
    <row r="1266" customFormat="false" ht="12.8" hidden="false" customHeight="false" outlineLevel="0" collapsed="false">
      <c r="A1266" s="44" t="n">
        <v>14</v>
      </c>
      <c r="B1266" s="44" t="s">
        <v>174</v>
      </c>
      <c r="C1266" s="44" t="s">
        <v>158</v>
      </c>
      <c r="D1266" s="45" t="str">
        <f aca="true">OFFSET(plates!$B$136,CODE(LEFT(B1266,1))-64,-1)&amp;"-"&amp;OFFSET(plates!$B$106,-1,MID(B1266,2,3)+0)</f>
        <v>bc327-bc414</v>
      </c>
      <c r="E1266" s="46" t="str">
        <f aca="true">OFFSET(plates!$B$136,CODE(LEFT(B1266,1))-64,MID(B1266,2,3)+0)&amp;""</f>
        <v/>
      </c>
      <c r="F1266" s="46"/>
      <c r="G1266" s="47"/>
      <c r="H1266" s="47"/>
    </row>
    <row r="1267" customFormat="false" ht="12.8" hidden="false" customHeight="false" outlineLevel="0" collapsed="false">
      <c r="A1267" s="44" t="n">
        <v>14</v>
      </c>
      <c r="B1267" s="44" t="s">
        <v>175</v>
      </c>
      <c r="C1267" s="44" t="s">
        <v>158</v>
      </c>
      <c r="D1267" s="45" t="str">
        <f aca="true">OFFSET(plates!$B$136,CODE(LEFT(B1267,1))-64,-1)&amp;"-"&amp;OFFSET(plates!$B$106,-1,MID(B1267,2,3)+0)</f>
        <v>bc357-bc414</v>
      </c>
      <c r="E1267" s="46" t="str">
        <f aca="true">OFFSET(plates!$B$136,CODE(LEFT(B1267,1))-64,MID(B1267,2,3)+0)&amp;""</f>
        <v/>
      </c>
      <c r="F1267" s="46"/>
      <c r="G1267" s="47"/>
      <c r="H1267" s="47"/>
    </row>
    <row r="1268" customFormat="false" ht="12.8" hidden="false" customHeight="false" outlineLevel="0" collapsed="false">
      <c r="A1268" s="44" t="n">
        <v>14</v>
      </c>
      <c r="B1268" s="44" t="s">
        <v>176</v>
      </c>
      <c r="C1268" s="44" t="s">
        <v>158</v>
      </c>
      <c r="D1268" s="45" t="str">
        <f aca="true">OFFSET(plates!$B$136,CODE(LEFT(B1268,1))-64,-1)&amp;"-"&amp;OFFSET(plates!$B$106,-1,MID(B1268,2,3)+0)</f>
        <v>bc361-bc414</v>
      </c>
      <c r="E1268" s="46" t="str">
        <f aca="true">OFFSET(plates!$B$136,CODE(LEFT(B1268,1))-64,MID(B1268,2,3)+0)&amp;""</f>
        <v/>
      </c>
      <c r="F1268" s="46"/>
      <c r="G1268" s="47"/>
      <c r="H1268" s="47"/>
    </row>
    <row r="1269" customFormat="false" ht="12.8" hidden="false" customHeight="false" outlineLevel="0" collapsed="false">
      <c r="A1269" s="44" t="n">
        <v>14</v>
      </c>
      <c r="B1269" s="44" t="s">
        <v>177</v>
      </c>
      <c r="C1269" s="44" t="s">
        <v>158</v>
      </c>
      <c r="D1269" s="45" t="str">
        <f aca="true">OFFSET(plates!$B$136,CODE(LEFT(B1269,1))-64,-1)&amp;"-"&amp;OFFSET(plates!$B$106,-1,MID(B1269,2,3)+0)</f>
        <v>bc362-bc414</v>
      </c>
      <c r="E1269" s="46" t="str">
        <f aca="true">OFFSET(plates!$B$136,CODE(LEFT(B1269,1))-64,MID(B1269,2,3)+0)&amp;""</f>
        <v/>
      </c>
      <c r="F1269" s="46"/>
      <c r="G1269" s="47"/>
      <c r="H1269" s="47"/>
    </row>
    <row r="1270" customFormat="false" ht="12.8" hidden="false" customHeight="false" outlineLevel="0" collapsed="false">
      <c r="A1270" s="44" t="n">
        <v>14</v>
      </c>
      <c r="B1270" s="44" t="s">
        <v>178</v>
      </c>
      <c r="C1270" s="44" t="s">
        <v>158</v>
      </c>
      <c r="D1270" s="45" t="str">
        <f aca="true">OFFSET(plates!$B$136,CODE(LEFT(B1270,1))-64,-1)&amp;"-"&amp;OFFSET(plates!$B$106,-1,MID(B1270,2,3)+0)</f>
        <v>bc368-bc414</v>
      </c>
      <c r="E1270" s="46" t="str">
        <f aca="true">OFFSET(plates!$B$136,CODE(LEFT(B1270,1))-64,MID(B1270,2,3)+0)&amp;""</f>
        <v/>
      </c>
      <c r="F1270" s="46"/>
      <c r="G1270" s="47"/>
      <c r="H1270" s="47"/>
    </row>
    <row r="1271" customFormat="false" ht="12.8" hidden="false" customHeight="false" outlineLevel="0" collapsed="false">
      <c r="A1271" s="44" t="n">
        <v>14</v>
      </c>
      <c r="B1271" s="44" t="s">
        <v>179</v>
      </c>
      <c r="C1271" s="44" t="s">
        <v>158</v>
      </c>
      <c r="D1271" s="45" t="str">
        <f aca="true">OFFSET(plates!$B$136,CODE(LEFT(B1271,1))-64,-1)&amp;"-"&amp;OFFSET(plates!$B$106,-1,MID(B1271,2,3)+0)</f>
        <v>bc370-bc414</v>
      </c>
      <c r="E1271" s="46" t="str">
        <f aca="true">OFFSET(plates!$B$136,CODE(LEFT(B1271,1))-64,MID(B1271,2,3)+0)&amp;""</f>
        <v/>
      </c>
      <c r="F1271" s="46"/>
      <c r="G1271" s="47"/>
      <c r="H1271" s="47"/>
    </row>
    <row r="1272" customFormat="false" ht="12.8" hidden="false" customHeight="false" outlineLevel="0" collapsed="false">
      <c r="A1272" s="44" t="n">
        <v>14</v>
      </c>
      <c r="B1272" s="44" t="s">
        <v>180</v>
      </c>
      <c r="C1272" s="44" t="s">
        <v>158</v>
      </c>
      <c r="D1272" s="45" t="str">
        <f aca="true">OFFSET(plates!$B$136,CODE(LEFT(B1272,1))-64,-1)&amp;"-"&amp;OFFSET(plates!$B$106,-1,MID(B1272,2,3)+0)</f>
        <v>bc377-bc414</v>
      </c>
      <c r="E1272" s="46" t="str">
        <f aca="true">OFFSET(plates!$B$136,CODE(LEFT(B1272,1))-64,MID(B1272,2,3)+0)&amp;""</f>
        <v/>
      </c>
      <c r="F1272" s="46"/>
      <c r="G1272" s="47"/>
      <c r="H1272" s="47"/>
    </row>
    <row r="1273" customFormat="false" ht="12.8" hidden="false" customHeight="false" outlineLevel="0" collapsed="false">
      <c r="A1273" s="44" t="n">
        <v>14</v>
      </c>
      <c r="B1273" s="44" t="s">
        <v>181</v>
      </c>
      <c r="C1273" s="44" t="s">
        <v>158</v>
      </c>
      <c r="D1273" s="45" t="str">
        <f aca="true">OFFSET(plates!$B$136,CODE(LEFT(B1273,1))-64,-1)&amp;"-"&amp;OFFSET(plates!$B$106,-1,MID(B1273,2,3)+0)</f>
        <v>bc406-bc414</v>
      </c>
      <c r="E1273" s="46" t="str">
        <f aca="true">OFFSET(plates!$B$136,CODE(LEFT(B1273,1))-64,MID(B1273,2,3)+0)&amp;""</f>
        <v/>
      </c>
      <c r="F1273" s="46"/>
      <c r="G1273" s="47"/>
      <c r="H1273" s="47"/>
    </row>
    <row r="1274" customFormat="false" ht="12.8" hidden="false" customHeight="false" outlineLevel="0" collapsed="false">
      <c r="A1274" s="44" t="n">
        <v>14</v>
      </c>
      <c r="B1274" s="44" t="s">
        <v>182</v>
      </c>
      <c r="C1274" s="44" t="s">
        <v>158</v>
      </c>
      <c r="D1274" s="45" t="str">
        <f aca="true">OFFSET(plates!$B$136,CODE(LEFT(B1274,1))-64,-1)&amp;"-"&amp;OFFSET(plates!$B$106,-1,MID(B1274,2,3)+0)</f>
        <v>bc327-bc418</v>
      </c>
      <c r="E1274" s="46" t="str">
        <f aca="true">OFFSET(plates!$B$136,CODE(LEFT(B1274,1))-64,MID(B1274,2,3)+0)&amp;""</f>
        <v/>
      </c>
      <c r="F1274" s="46"/>
      <c r="G1274" s="47"/>
      <c r="H1274" s="47"/>
    </row>
    <row r="1275" customFormat="false" ht="12.8" hidden="false" customHeight="false" outlineLevel="0" collapsed="false">
      <c r="A1275" s="44" t="n">
        <v>14</v>
      </c>
      <c r="B1275" s="44" t="s">
        <v>183</v>
      </c>
      <c r="C1275" s="44" t="s">
        <v>158</v>
      </c>
      <c r="D1275" s="45" t="str">
        <f aca="true">OFFSET(plates!$B$136,CODE(LEFT(B1275,1))-64,-1)&amp;"-"&amp;OFFSET(plates!$B$106,-1,MID(B1275,2,3)+0)</f>
        <v>bc357-bc418</v>
      </c>
      <c r="E1275" s="46" t="str">
        <f aca="true">OFFSET(plates!$B$136,CODE(LEFT(B1275,1))-64,MID(B1275,2,3)+0)&amp;""</f>
        <v/>
      </c>
      <c r="F1275" s="46"/>
      <c r="G1275" s="47"/>
      <c r="H1275" s="47"/>
    </row>
    <row r="1276" customFormat="false" ht="12.8" hidden="false" customHeight="false" outlineLevel="0" collapsed="false">
      <c r="A1276" s="44" t="n">
        <v>14</v>
      </c>
      <c r="B1276" s="44" t="s">
        <v>184</v>
      </c>
      <c r="C1276" s="44" t="s">
        <v>158</v>
      </c>
      <c r="D1276" s="45" t="str">
        <f aca="true">OFFSET(plates!$B$136,CODE(LEFT(B1276,1))-64,-1)&amp;"-"&amp;OFFSET(plates!$B$106,-1,MID(B1276,2,3)+0)</f>
        <v>bc361-bc418</v>
      </c>
      <c r="E1276" s="46" t="str">
        <f aca="true">OFFSET(plates!$B$136,CODE(LEFT(B1276,1))-64,MID(B1276,2,3)+0)&amp;""</f>
        <v/>
      </c>
      <c r="F1276" s="46"/>
      <c r="G1276" s="47"/>
      <c r="H1276" s="47"/>
    </row>
    <row r="1277" customFormat="false" ht="12.8" hidden="false" customHeight="false" outlineLevel="0" collapsed="false">
      <c r="A1277" s="44" t="n">
        <v>14</v>
      </c>
      <c r="B1277" s="44" t="s">
        <v>185</v>
      </c>
      <c r="C1277" s="44" t="s">
        <v>158</v>
      </c>
      <c r="D1277" s="45" t="str">
        <f aca="true">OFFSET(plates!$B$136,CODE(LEFT(B1277,1))-64,-1)&amp;"-"&amp;OFFSET(plates!$B$106,-1,MID(B1277,2,3)+0)</f>
        <v>bc362-bc418</v>
      </c>
      <c r="E1277" s="46" t="str">
        <f aca="true">OFFSET(plates!$B$136,CODE(LEFT(B1277,1))-64,MID(B1277,2,3)+0)&amp;""</f>
        <v/>
      </c>
      <c r="F1277" s="46"/>
      <c r="G1277" s="47"/>
      <c r="H1277" s="47"/>
    </row>
    <row r="1278" customFormat="false" ht="12.8" hidden="false" customHeight="false" outlineLevel="0" collapsed="false">
      <c r="A1278" s="44" t="n">
        <v>14</v>
      </c>
      <c r="B1278" s="44" t="s">
        <v>186</v>
      </c>
      <c r="C1278" s="44" t="s">
        <v>158</v>
      </c>
      <c r="D1278" s="45" t="str">
        <f aca="true">OFFSET(plates!$B$136,CODE(LEFT(B1278,1))-64,-1)&amp;"-"&amp;OFFSET(plates!$B$106,-1,MID(B1278,2,3)+0)</f>
        <v>bc368-bc418</v>
      </c>
      <c r="E1278" s="46" t="str">
        <f aca="true">OFFSET(plates!$B$136,CODE(LEFT(B1278,1))-64,MID(B1278,2,3)+0)&amp;""</f>
        <v/>
      </c>
      <c r="F1278" s="46"/>
      <c r="G1278" s="47"/>
      <c r="H1278" s="47"/>
    </row>
    <row r="1279" customFormat="false" ht="12.8" hidden="false" customHeight="false" outlineLevel="0" collapsed="false">
      <c r="A1279" s="44" t="n">
        <v>14</v>
      </c>
      <c r="B1279" s="44" t="s">
        <v>187</v>
      </c>
      <c r="C1279" s="44" t="s">
        <v>158</v>
      </c>
      <c r="D1279" s="45" t="str">
        <f aca="true">OFFSET(plates!$B$136,CODE(LEFT(B1279,1))-64,-1)&amp;"-"&amp;OFFSET(plates!$B$106,-1,MID(B1279,2,3)+0)</f>
        <v>bc370-bc418</v>
      </c>
      <c r="E1279" s="46" t="str">
        <f aca="true">OFFSET(plates!$B$136,CODE(LEFT(B1279,1))-64,MID(B1279,2,3)+0)&amp;""</f>
        <v/>
      </c>
      <c r="F1279" s="46"/>
      <c r="G1279" s="47"/>
      <c r="H1279" s="47"/>
    </row>
    <row r="1280" customFormat="false" ht="12.8" hidden="false" customHeight="false" outlineLevel="0" collapsed="false">
      <c r="A1280" s="44" t="n">
        <v>14</v>
      </c>
      <c r="B1280" s="44" t="s">
        <v>188</v>
      </c>
      <c r="C1280" s="44" t="s">
        <v>158</v>
      </c>
      <c r="D1280" s="45" t="str">
        <f aca="true">OFFSET(plates!$B$136,CODE(LEFT(B1280,1))-64,-1)&amp;"-"&amp;OFFSET(plates!$B$106,-1,MID(B1280,2,3)+0)</f>
        <v>bc377-bc418</v>
      </c>
      <c r="E1280" s="46" t="str">
        <f aca="true">OFFSET(plates!$B$136,CODE(LEFT(B1280,1))-64,MID(B1280,2,3)+0)&amp;""</f>
        <v/>
      </c>
      <c r="F1280" s="46"/>
      <c r="G1280" s="47"/>
      <c r="H1280" s="47"/>
    </row>
    <row r="1281" customFormat="false" ht="12.8" hidden="false" customHeight="false" outlineLevel="0" collapsed="false">
      <c r="A1281" s="44" t="n">
        <v>14</v>
      </c>
      <c r="B1281" s="44" t="s">
        <v>189</v>
      </c>
      <c r="C1281" s="44" t="s">
        <v>158</v>
      </c>
      <c r="D1281" s="45" t="str">
        <f aca="true">OFFSET(plates!$B$136,CODE(LEFT(B1281,1))-64,-1)&amp;"-"&amp;OFFSET(plates!$B$106,-1,MID(B1281,2,3)+0)</f>
        <v>bc406-bc418</v>
      </c>
      <c r="E1281" s="46" t="str">
        <f aca="true">OFFSET(plates!$B$136,CODE(LEFT(B1281,1))-64,MID(B1281,2,3)+0)&amp;""</f>
        <v/>
      </c>
      <c r="F1281" s="46"/>
      <c r="G1281" s="47"/>
      <c r="H1281" s="47"/>
    </row>
    <row r="1282" customFormat="false" ht="12.8" hidden="false" customHeight="false" outlineLevel="0" collapsed="false">
      <c r="A1282" s="44" t="n">
        <v>14</v>
      </c>
      <c r="B1282" s="44" t="s">
        <v>190</v>
      </c>
      <c r="C1282" s="44" t="s">
        <v>158</v>
      </c>
      <c r="D1282" s="45" t="str">
        <f aca="true">OFFSET(plates!$B$136,CODE(LEFT(B1282,1))-64,-1)&amp;"-"&amp;OFFSET(plates!$B$106,-1,MID(B1282,2,3)+0)</f>
        <v>bc327-bc436</v>
      </c>
      <c r="E1282" s="46" t="str">
        <f aca="true">OFFSET(plates!$B$136,CODE(LEFT(B1282,1))-64,MID(B1282,2,3)+0)&amp;""</f>
        <v/>
      </c>
      <c r="F1282" s="46"/>
      <c r="G1282" s="47"/>
      <c r="H1282" s="47"/>
    </row>
    <row r="1283" customFormat="false" ht="12.8" hidden="false" customHeight="false" outlineLevel="0" collapsed="false">
      <c r="A1283" s="44" t="n">
        <v>14</v>
      </c>
      <c r="B1283" s="44" t="s">
        <v>191</v>
      </c>
      <c r="C1283" s="44" t="s">
        <v>158</v>
      </c>
      <c r="D1283" s="45" t="str">
        <f aca="true">OFFSET(plates!$B$136,CODE(LEFT(B1283,1))-64,-1)&amp;"-"&amp;OFFSET(plates!$B$106,-1,MID(B1283,2,3)+0)</f>
        <v>bc357-bc436</v>
      </c>
      <c r="E1283" s="46" t="str">
        <f aca="true">OFFSET(plates!$B$136,CODE(LEFT(B1283,1))-64,MID(B1283,2,3)+0)&amp;""</f>
        <v/>
      </c>
      <c r="F1283" s="46"/>
      <c r="G1283" s="47"/>
      <c r="H1283" s="47"/>
    </row>
    <row r="1284" customFormat="false" ht="12.8" hidden="false" customHeight="false" outlineLevel="0" collapsed="false">
      <c r="A1284" s="44" t="n">
        <v>14</v>
      </c>
      <c r="B1284" s="44" t="s">
        <v>192</v>
      </c>
      <c r="C1284" s="44" t="s">
        <v>158</v>
      </c>
      <c r="D1284" s="45" t="str">
        <f aca="true">OFFSET(plates!$B$136,CODE(LEFT(B1284,1))-64,-1)&amp;"-"&amp;OFFSET(plates!$B$106,-1,MID(B1284,2,3)+0)</f>
        <v>bc361-bc436</v>
      </c>
      <c r="E1284" s="46" t="str">
        <f aca="true">OFFSET(plates!$B$136,CODE(LEFT(B1284,1))-64,MID(B1284,2,3)+0)&amp;""</f>
        <v/>
      </c>
      <c r="F1284" s="46"/>
      <c r="G1284" s="47"/>
      <c r="H1284" s="47"/>
    </row>
    <row r="1285" customFormat="false" ht="12.8" hidden="false" customHeight="false" outlineLevel="0" collapsed="false">
      <c r="A1285" s="44" t="n">
        <v>14</v>
      </c>
      <c r="B1285" s="44" t="s">
        <v>193</v>
      </c>
      <c r="C1285" s="44" t="s">
        <v>158</v>
      </c>
      <c r="D1285" s="45" t="str">
        <f aca="true">OFFSET(plates!$B$136,CODE(LEFT(B1285,1))-64,-1)&amp;"-"&amp;OFFSET(plates!$B$106,-1,MID(B1285,2,3)+0)</f>
        <v>bc362-bc436</v>
      </c>
      <c r="E1285" s="46" t="str">
        <f aca="true">OFFSET(plates!$B$136,CODE(LEFT(B1285,1))-64,MID(B1285,2,3)+0)&amp;""</f>
        <v/>
      </c>
      <c r="F1285" s="46"/>
      <c r="G1285" s="47"/>
      <c r="H1285" s="47"/>
    </row>
    <row r="1286" customFormat="false" ht="12.8" hidden="false" customHeight="false" outlineLevel="0" collapsed="false">
      <c r="A1286" s="44" t="n">
        <v>14</v>
      </c>
      <c r="B1286" s="44" t="s">
        <v>194</v>
      </c>
      <c r="C1286" s="44" t="s">
        <v>158</v>
      </c>
      <c r="D1286" s="45" t="str">
        <f aca="true">OFFSET(plates!$B$136,CODE(LEFT(B1286,1))-64,-1)&amp;"-"&amp;OFFSET(plates!$B$106,-1,MID(B1286,2,3)+0)</f>
        <v>bc368-bc436</v>
      </c>
      <c r="E1286" s="46" t="str">
        <f aca="true">OFFSET(plates!$B$136,CODE(LEFT(B1286,1))-64,MID(B1286,2,3)+0)&amp;""</f>
        <v/>
      </c>
      <c r="F1286" s="46"/>
      <c r="G1286" s="47"/>
      <c r="H1286" s="47"/>
    </row>
    <row r="1287" customFormat="false" ht="12.8" hidden="false" customHeight="false" outlineLevel="0" collapsed="false">
      <c r="A1287" s="44" t="n">
        <v>14</v>
      </c>
      <c r="B1287" s="44" t="s">
        <v>195</v>
      </c>
      <c r="C1287" s="44" t="s">
        <v>158</v>
      </c>
      <c r="D1287" s="45" t="str">
        <f aca="true">OFFSET(plates!$B$136,CODE(LEFT(B1287,1))-64,-1)&amp;"-"&amp;OFFSET(plates!$B$106,-1,MID(B1287,2,3)+0)</f>
        <v>bc370-bc436</v>
      </c>
      <c r="E1287" s="46" t="str">
        <f aca="true">OFFSET(plates!$B$136,CODE(LEFT(B1287,1))-64,MID(B1287,2,3)+0)&amp;""</f>
        <v/>
      </c>
      <c r="F1287" s="46"/>
      <c r="G1287" s="47"/>
      <c r="H1287" s="47"/>
    </row>
    <row r="1288" customFormat="false" ht="12.8" hidden="false" customHeight="false" outlineLevel="0" collapsed="false">
      <c r="A1288" s="44" t="n">
        <v>14</v>
      </c>
      <c r="B1288" s="44" t="s">
        <v>196</v>
      </c>
      <c r="C1288" s="44" t="s">
        <v>158</v>
      </c>
      <c r="D1288" s="45" t="str">
        <f aca="true">OFFSET(plates!$B$136,CODE(LEFT(B1288,1))-64,-1)&amp;"-"&amp;OFFSET(plates!$B$106,-1,MID(B1288,2,3)+0)</f>
        <v>bc377-bc436</v>
      </c>
      <c r="E1288" s="46" t="str">
        <f aca="true">OFFSET(plates!$B$136,CODE(LEFT(B1288,1))-64,MID(B1288,2,3)+0)&amp;""</f>
        <v/>
      </c>
      <c r="F1288" s="46"/>
      <c r="G1288" s="47"/>
      <c r="H1288" s="47"/>
    </row>
    <row r="1289" customFormat="false" ht="12.8" hidden="false" customHeight="false" outlineLevel="0" collapsed="false">
      <c r="A1289" s="44" t="n">
        <v>14</v>
      </c>
      <c r="B1289" s="44" t="s">
        <v>197</v>
      </c>
      <c r="C1289" s="44" t="s">
        <v>158</v>
      </c>
      <c r="D1289" s="45" t="str">
        <f aca="true">OFFSET(plates!$B$136,CODE(LEFT(B1289,1))-64,-1)&amp;"-"&amp;OFFSET(plates!$B$106,-1,MID(B1289,2,3)+0)</f>
        <v>bc406-bc436</v>
      </c>
      <c r="E1289" s="46" t="str">
        <f aca="true">OFFSET(plates!$B$136,CODE(LEFT(B1289,1))-64,MID(B1289,2,3)+0)&amp;""</f>
        <v/>
      </c>
      <c r="F1289" s="46"/>
      <c r="G1289" s="47"/>
      <c r="H1289" s="47"/>
    </row>
    <row r="1290" customFormat="false" ht="12.8" hidden="false" customHeight="false" outlineLevel="0" collapsed="false">
      <c r="A1290" s="44" t="n">
        <v>14</v>
      </c>
      <c r="B1290" s="44" t="s">
        <v>198</v>
      </c>
      <c r="C1290" s="44" t="s">
        <v>158</v>
      </c>
      <c r="D1290" s="45" t="str">
        <f aca="true">OFFSET(plates!$B$136,CODE(LEFT(B1290,1))-64,-1)&amp;"-"&amp;OFFSET(plates!$B$106,-1,MID(B1290,2,3)+0)</f>
        <v>bc327-bc471</v>
      </c>
      <c r="E1290" s="46" t="str">
        <f aca="true">OFFSET(plates!$B$136,CODE(LEFT(B1290,1))-64,MID(B1290,2,3)+0)&amp;""</f>
        <v/>
      </c>
      <c r="F1290" s="46"/>
      <c r="G1290" s="47"/>
      <c r="H1290" s="47"/>
    </row>
    <row r="1291" customFormat="false" ht="12.8" hidden="false" customHeight="false" outlineLevel="0" collapsed="false">
      <c r="A1291" s="44" t="n">
        <v>14</v>
      </c>
      <c r="B1291" s="44" t="s">
        <v>199</v>
      </c>
      <c r="C1291" s="44" t="s">
        <v>158</v>
      </c>
      <c r="D1291" s="45" t="str">
        <f aca="true">OFFSET(plates!$B$136,CODE(LEFT(B1291,1))-64,-1)&amp;"-"&amp;OFFSET(plates!$B$106,-1,MID(B1291,2,3)+0)</f>
        <v>bc357-bc471</v>
      </c>
      <c r="E1291" s="46" t="str">
        <f aca="true">OFFSET(plates!$B$136,CODE(LEFT(B1291,1))-64,MID(B1291,2,3)+0)&amp;""</f>
        <v/>
      </c>
      <c r="F1291" s="46"/>
      <c r="G1291" s="47"/>
      <c r="H1291" s="47"/>
    </row>
    <row r="1292" customFormat="false" ht="12.8" hidden="false" customHeight="false" outlineLevel="0" collapsed="false">
      <c r="A1292" s="44" t="n">
        <v>14</v>
      </c>
      <c r="B1292" s="44" t="s">
        <v>200</v>
      </c>
      <c r="C1292" s="44" t="s">
        <v>158</v>
      </c>
      <c r="D1292" s="45" t="str">
        <f aca="true">OFFSET(plates!$B$136,CODE(LEFT(B1292,1))-64,-1)&amp;"-"&amp;OFFSET(plates!$B$106,-1,MID(B1292,2,3)+0)</f>
        <v>bc361-bc471</v>
      </c>
      <c r="E1292" s="46" t="str">
        <f aca="true">OFFSET(plates!$B$136,CODE(LEFT(B1292,1))-64,MID(B1292,2,3)+0)&amp;""</f>
        <v/>
      </c>
      <c r="F1292" s="46"/>
      <c r="G1292" s="47"/>
      <c r="H1292" s="47"/>
    </row>
    <row r="1293" customFormat="false" ht="12.8" hidden="false" customHeight="false" outlineLevel="0" collapsed="false">
      <c r="A1293" s="44" t="n">
        <v>14</v>
      </c>
      <c r="B1293" s="44" t="s">
        <v>201</v>
      </c>
      <c r="C1293" s="44" t="s">
        <v>158</v>
      </c>
      <c r="D1293" s="45" t="str">
        <f aca="true">OFFSET(plates!$B$136,CODE(LEFT(B1293,1))-64,-1)&amp;"-"&amp;OFFSET(plates!$B$106,-1,MID(B1293,2,3)+0)</f>
        <v>bc362-bc471</v>
      </c>
      <c r="E1293" s="46" t="str">
        <f aca="true">OFFSET(plates!$B$136,CODE(LEFT(B1293,1))-64,MID(B1293,2,3)+0)&amp;""</f>
        <v/>
      </c>
      <c r="F1293" s="46"/>
      <c r="G1293" s="47"/>
      <c r="H1293" s="47"/>
    </row>
    <row r="1294" customFormat="false" ht="12.8" hidden="false" customHeight="false" outlineLevel="0" collapsed="false">
      <c r="A1294" s="44" t="n">
        <v>14</v>
      </c>
      <c r="B1294" s="44" t="s">
        <v>202</v>
      </c>
      <c r="C1294" s="44" t="s">
        <v>158</v>
      </c>
      <c r="D1294" s="45" t="str">
        <f aca="true">OFFSET(plates!$B$136,CODE(LEFT(B1294,1))-64,-1)&amp;"-"&amp;OFFSET(plates!$B$106,-1,MID(B1294,2,3)+0)</f>
        <v>bc368-bc471</v>
      </c>
      <c r="E1294" s="46" t="str">
        <f aca="true">OFFSET(plates!$B$136,CODE(LEFT(B1294,1))-64,MID(B1294,2,3)+0)&amp;""</f>
        <v/>
      </c>
      <c r="F1294" s="46"/>
      <c r="G1294" s="47"/>
      <c r="H1294" s="47"/>
    </row>
    <row r="1295" customFormat="false" ht="12.8" hidden="false" customHeight="false" outlineLevel="0" collapsed="false">
      <c r="A1295" s="44" t="n">
        <v>14</v>
      </c>
      <c r="B1295" s="44" t="s">
        <v>203</v>
      </c>
      <c r="C1295" s="44" t="s">
        <v>158</v>
      </c>
      <c r="D1295" s="45" t="str">
        <f aca="true">OFFSET(plates!$B$136,CODE(LEFT(B1295,1))-64,-1)&amp;"-"&amp;OFFSET(plates!$B$106,-1,MID(B1295,2,3)+0)</f>
        <v>bc370-bc471</v>
      </c>
      <c r="E1295" s="46" t="str">
        <f aca="true">OFFSET(plates!$B$136,CODE(LEFT(B1295,1))-64,MID(B1295,2,3)+0)&amp;""</f>
        <v/>
      </c>
      <c r="F1295" s="46"/>
      <c r="G1295" s="47"/>
      <c r="H1295" s="47"/>
    </row>
    <row r="1296" customFormat="false" ht="12.8" hidden="false" customHeight="false" outlineLevel="0" collapsed="false">
      <c r="A1296" s="44" t="n">
        <v>14</v>
      </c>
      <c r="B1296" s="44" t="s">
        <v>204</v>
      </c>
      <c r="C1296" s="44" t="s">
        <v>158</v>
      </c>
      <c r="D1296" s="45" t="str">
        <f aca="true">OFFSET(plates!$B$136,CODE(LEFT(B1296,1))-64,-1)&amp;"-"&amp;OFFSET(plates!$B$106,-1,MID(B1296,2,3)+0)</f>
        <v>bc377-bc471</v>
      </c>
      <c r="E1296" s="46" t="str">
        <f aca="true">OFFSET(plates!$B$136,CODE(LEFT(B1296,1))-64,MID(B1296,2,3)+0)&amp;""</f>
        <v/>
      </c>
      <c r="F1296" s="46"/>
      <c r="G1296" s="47"/>
      <c r="H1296" s="47"/>
    </row>
    <row r="1297" customFormat="false" ht="12.8" hidden="false" customHeight="false" outlineLevel="0" collapsed="false">
      <c r="A1297" s="44" t="n">
        <v>14</v>
      </c>
      <c r="B1297" s="44" t="s">
        <v>205</v>
      </c>
      <c r="C1297" s="44" t="s">
        <v>158</v>
      </c>
      <c r="D1297" s="45" t="str">
        <f aca="true">OFFSET(plates!$B$136,CODE(LEFT(B1297,1))-64,-1)&amp;"-"&amp;OFFSET(plates!$B$106,-1,MID(B1297,2,3)+0)</f>
        <v>bc406-bc471</v>
      </c>
      <c r="E1297" s="46" t="str">
        <f aca="true">OFFSET(plates!$B$136,CODE(LEFT(B1297,1))-64,MID(B1297,2,3)+0)&amp;""</f>
        <v/>
      </c>
      <c r="F1297" s="46"/>
      <c r="G1297" s="47"/>
      <c r="H1297" s="47"/>
    </row>
    <row r="1298" customFormat="false" ht="12.8" hidden="false" customHeight="false" outlineLevel="0" collapsed="false">
      <c r="A1298" s="44" t="n">
        <v>14</v>
      </c>
      <c r="B1298" s="44" t="s">
        <v>206</v>
      </c>
      <c r="C1298" s="44" t="s">
        <v>158</v>
      </c>
      <c r="D1298" s="45" t="str">
        <f aca="true">OFFSET(plates!$B$136,CODE(LEFT(B1298,1))-64,-1)&amp;"-"&amp;OFFSET(plates!$B$106,-1,MID(B1298,2,3)+0)</f>
        <v>bc327-bc488</v>
      </c>
      <c r="E1298" s="46" t="str">
        <f aca="true">OFFSET(plates!$B$136,CODE(LEFT(B1298,1))-64,MID(B1298,2,3)+0)&amp;""</f>
        <v/>
      </c>
      <c r="F1298" s="46"/>
      <c r="G1298" s="47"/>
      <c r="H1298" s="47"/>
    </row>
    <row r="1299" customFormat="false" ht="12.8" hidden="false" customHeight="false" outlineLevel="0" collapsed="false">
      <c r="A1299" s="44" t="n">
        <v>14</v>
      </c>
      <c r="B1299" s="44" t="s">
        <v>207</v>
      </c>
      <c r="C1299" s="44" t="s">
        <v>158</v>
      </c>
      <c r="D1299" s="45" t="str">
        <f aca="true">OFFSET(plates!$B$136,CODE(LEFT(B1299,1))-64,-1)&amp;"-"&amp;OFFSET(plates!$B$106,-1,MID(B1299,2,3)+0)</f>
        <v>bc357-bc488</v>
      </c>
      <c r="E1299" s="46" t="str">
        <f aca="true">OFFSET(plates!$B$136,CODE(LEFT(B1299,1))-64,MID(B1299,2,3)+0)&amp;""</f>
        <v/>
      </c>
      <c r="F1299" s="46"/>
      <c r="G1299" s="47"/>
      <c r="H1299" s="47"/>
    </row>
    <row r="1300" customFormat="false" ht="12.8" hidden="false" customHeight="false" outlineLevel="0" collapsed="false">
      <c r="A1300" s="44" t="n">
        <v>14</v>
      </c>
      <c r="B1300" s="44" t="s">
        <v>208</v>
      </c>
      <c r="C1300" s="44" t="s">
        <v>158</v>
      </c>
      <c r="D1300" s="45" t="str">
        <f aca="true">OFFSET(plates!$B$136,CODE(LEFT(B1300,1))-64,-1)&amp;"-"&amp;OFFSET(plates!$B$106,-1,MID(B1300,2,3)+0)</f>
        <v>bc361-bc488</v>
      </c>
      <c r="E1300" s="46" t="str">
        <f aca="true">OFFSET(plates!$B$136,CODE(LEFT(B1300,1))-64,MID(B1300,2,3)+0)&amp;""</f>
        <v/>
      </c>
      <c r="F1300" s="46"/>
      <c r="G1300" s="47"/>
      <c r="H1300" s="47"/>
    </row>
    <row r="1301" customFormat="false" ht="12.8" hidden="false" customHeight="false" outlineLevel="0" collapsed="false">
      <c r="A1301" s="44" t="n">
        <v>14</v>
      </c>
      <c r="B1301" s="44" t="s">
        <v>209</v>
      </c>
      <c r="C1301" s="44" t="s">
        <v>158</v>
      </c>
      <c r="D1301" s="45" t="str">
        <f aca="true">OFFSET(plates!$B$136,CODE(LEFT(B1301,1))-64,-1)&amp;"-"&amp;OFFSET(plates!$B$106,-1,MID(B1301,2,3)+0)</f>
        <v>bc362-bc488</v>
      </c>
      <c r="E1301" s="46" t="str">
        <f aca="true">OFFSET(plates!$B$136,CODE(LEFT(B1301,1))-64,MID(B1301,2,3)+0)&amp;""</f>
        <v/>
      </c>
      <c r="F1301" s="46"/>
      <c r="G1301" s="47"/>
      <c r="H1301" s="47"/>
    </row>
    <row r="1302" customFormat="false" ht="12.8" hidden="false" customHeight="false" outlineLevel="0" collapsed="false">
      <c r="A1302" s="44" t="n">
        <v>14</v>
      </c>
      <c r="B1302" s="44" t="s">
        <v>210</v>
      </c>
      <c r="C1302" s="44" t="s">
        <v>158</v>
      </c>
      <c r="D1302" s="45" t="str">
        <f aca="true">OFFSET(plates!$B$136,CODE(LEFT(B1302,1))-64,-1)&amp;"-"&amp;OFFSET(plates!$B$106,-1,MID(B1302,2,3)+0)</f>
        <v>bc368-bc488</v>
      </c>
      <c r="E1302" s="46" t="str">
        <f aca="true">OFFSET(plates!$B$136,CODE(LEFT(B1302,1))-64,MID(B1302,2,3)+0)&amp;""</f>
        <v/>
      </c>
      <c r="F1302" s="46"/>
      <c r="G1302" s="47"/>
      <c r="H1302" s="47"/>
    </row>
    <row r="1303" customFormat="false" ht="12.8" hidden="false" customHeight="false" outlineLevel="0" collapsed="false">
      <c r="A1303" s="44" t="n">
        <v>14</v>
      </c>
      <c r="B1303" s="44" t="s">
        <v>211</v>
      </c>
      <c r="C1303" s="44" t="s">
        <v>158</v>
      </c>
      <c r="D1303" s="45" t="str">
        <f aca="true">OFFSET(plates!$B$136,CODE(LEFT(B1303,1))-64,-1)&amp;"-"&amp;OFFSET(plates!$B$106,-1,MID(B1303,2,3)+0)</f>
        <v>bc370-bc488</v>
      </c>
      <c r="E1303" s="46" t="str">
        <f aca="true">OFFSET(plates!$B$136,CODE(LEFT(B1303,1))-64,MID(B1303,2,3)+0)&amp;""</f>
        <v/>
      </c>
      <c r="F1303" s="46"/>
      <c r="G1303" s="47"/>
      <c r="H1303" s="47"/>
    </row>
    <row r="1304" customFormat="false" ht="12.8" hidden="false" customHeight="false" outlineLevel="0" collapsed="false">
      <c r="A1304" s="44" t="n">
        <v>14</v>
      </c>
      <c r="B1304" s="44" t="s">
        <v>212</v>
      </c>
      <c r="C1304" s="44" t="s">
        <v>158</v>
      </c>
      <c r="D1304" s="45" t="str">
        <f aca="true">OFFSET(plates!$B$136,CODE(LEFT(B1304,1))-64,-1)&amp;"-"&amp;OFFSET(plates!$B$106,-1,MID(B1304,2,3)+0)</f>
        <v>bc377-bc488</v>
      </c>
      <c r="E1304" s="46" t="str">
        <f aca="true">OFFSET(plates!$B$136,CODE(LEFT(B1304,1))-64,MID(B1304,2,3)+0)&amp;""</f>
        <v/>
      </c>
      <c r="F1304" s="46"/>
      <c r="G1304" s="47"/>
      <c r="H1304" s="47"/>
    </row>
    <row r="1305" customFormat="false" ht="12.8" hidden="false" customHeight="false" outlineLevel="0" collapsed="false">
      <c r="A1305" s="44" t="n">
        <v>14</v>
      </c>
      <c r="B1305" s="44" t="s">
        <v>213</v>
      </c>
      <c r="C1305" s="44" t="s">
        <v>158</v>
      </c>
      <c r="D1305" s="45" t="str">
        <f aca="true">OFFSET(plates!$B$136,CODE(LEFT(B1305,1))-64,-1)&amp;"-"&amp;OFFSET(plates!$B$106,-1,MID(B1305,2,3)+0)</f>
        <v>bc406-bc488</v>
      </c>
      <c r="E1305" s="46" t="str">
        <f aca="true">OFFSET(plates!$B$136,CODE(LEFT(B1305,1))-64,MID(B1305,2,3)+0)&amp;""</f>
        <v/>
      </c>
      <c r="F1305" s="46"/>
      <c r="G1305" s="47"/>
      <c r="H1305" s="47"/>
    </row>
    <row r="1306" customFormat="false" ht="12.8" hidden="false" customHeight="false" outlineLevel="0" collapsed="false">
      <c r="A1306" s="44" t="n">
        <v>14</v>
      </c>
      <c r="B1306" s="44" t="s">
        <v>214</v>
      </c>
      <c r="C1306" s="44" t="s">
        <v>158</v>
      </c>
      <c r="D1306" s="45" t="str">
        <f aca="true">OFFSET(plates!$B$136,CODE(LEFT(B1306,1))-64,-1)&amp;"-"&amp;OFFSET(plates!$B$106,-1,MID(B1306,2,3)+0)</f>
        <v>bc327-bc497</v>
      </c>
      <c r="E1306" s="46" t="str">
        <f aca="true">OFFSET(plates!$B$136,CODE(LEFT(B1306,1))-64,MID(B1306,2,3)+0)&amp;""</f>
        <v/>
      </c>
      <c r="F1306" s="46"/>
      <c r="G1306" s="47"/>
      <c r="H1306" s="47"/>
    </row>
    <row r="1307" customFormat="false" ht="12.8" hidden="false" customHeight="false" outlineLevel="0" collapsed="false">
      <c r="A1307" s="44" t="n">
        <v>14</v>
      </c>
      <c r="B1307" s="44" t="s">
        <v>215</v>
      </c>
      <c r="C1307" s="44" t="s">
        <v>158</v>
      </c>
      <c r="D1307" s="45" t="str">
        <f aca="true">OFFSET(plates!$B$136,CODE(LEFT(B1307,1))-64,-1)&amp;"-"&amp;OFFSET(plates!$B$106,-1,MID(B1307,2,3)+0)</f>
        <v>bc357-bc497</v>
      </c>
      <c r="E1307" s="46" t="str">
        <f aca="true">OFFSET(plates!$B$136,CODE(LEFT(B1307,1))-64,MID(B1307,2,3)+0)&amp;""</f>
        <v/>
      </c>
      <c r="F1307" s="46"/>
      <c r="G1307" s="47"/>
      <c r="H1307" s="47"/>
    </row>
    <row r="1308" customFormat="false" ht="12.8" hidden="false" customHeight="false" outlineLevel="0" collapsed="false">
      <c r="A1308" s="44" t="n">
        <v>14</v>
      </c>
      <c r="B1308" s="44" t="s">
        <v>216</v>
      </c>
      <c r="C1308" s="44" t="s">
        <v>158</v>
      </c>
      <c r="D1308" s="45" t="str">
        <f aca="true">OFFSET(plates!$B$136,CODE(LEFT(B1308,1))-64,-1)&amp;"-"&amp;OFFSET(plates!$B$106,-1,MID(B1308,2,3)+0)</f>
        <v>bc361-bc497</v>
      </c>
      <c r="E1308" s="46" t="str">
        <f aca="true">OFFSET(plates!$B$136,CODE(LEFT(B1308,1))-64,MID(B1308,2,3)+0)&amp;""</f>
        <v/>
      </c>
      <c r="F1308" s="46"/>
      <c r="G1308" s="47"/>
      <c r="H1308" s="47"/>
    </row>
    <row r="1309" customFormat="false" ht="12.8" hidden="false" customHeight="false" outlineLevel="0" collapsed="false">
      <c r="A1309" s="44" t="n">
        <v>14</v>
      </c>
      <c r="B1309" s="44" t="s">
        <v>217</v>
      </c>
      <c r="C1309" s="44" t="s">
        <v>158</v>
      </c>
      <c r="D1309" s="45" t="str">
        <f aca="true">OFFSET(plates!$B$136,CODE(LEFT(B1309,1))-64,-1)&amp;"-"&amp;OFFSET(plates!$B$106,-1,MID(B1309,2,3)+0)</f>
        <v>bc362-bc497</v>
      </c>
      <c r="E1309" s="46" t="str">
        <f aca="true">OFFSET(plates!$B$136,CODE(LEFT(B1309,1))-64,MID(B1309,2,3)+0)&amp;""</f>
        <v/>
      </c>
      <c r="F1309" s="46"/>
      <c r="G1309" s="47"/>
      <c r="H1309" s="47"/>
    </row>
    <row r="1310" customFormat="false" ht="12.8" hidden="false" customHeight="false" outlineLevel="0" collapsed="false">
      <c r="A1310" s="44" t="n">
        <v>14</v>
      </c>
      <c r="B1310" s="44" t="s">
        <v>218</v>
      </c>
      <c r="C1310" s="44" t="s">
        <v>158</v>
      </c>
      <c r="D1310" s="45" t="str">
        <f aca="true">OFFSET(plates!$B$136,CODE(LEFT(B1310,1))-64,-1)&amp;"-"&amp;OFFSET(plates!$B$106,-1,MID(B1310,2,3)+0)</f>
        <v>bc368-bc497</v>
      </c>
      <c r="E1310" s="46" t="str">
        <f aca="true">OFFSET(plates!$B$136,CODE(LEFT(B1310,1))-64,MID(B1310,2,3)+0)&amp;""</f>
        <v/>
      </c>
      <c r="F1310" s="46"/>
      <c r="G1310" s="47"/>
      <c r="H1310" s="47"/>
    </row>
    <row r="1311" customFormat="false" ht="12.8" hidden="false" customHeight="false" outlineLevel="0" collapsed="false">
      <c r="A1311" s="44" t="n">
        <v>14</v>
      </c>
      <c r="B1311" s="44" t="s">
        <v>219</v>
      </c>
      <c r="C1311" s="44" t="s">
        <v>158</v>
      </c>
      <c r="D1311" s="45" t="str">
        <f aca="true">OFFSET(plates!$B$136,CODE(LEFT(B1311,1))-64,-1)&amp;"-"&amp;OFFSET(plates!$B$106,-1,MID(B1311,2,3)+0)</f>
        <v>bc370-bc497</v>
      </c>
      <c r="E1311" s="46" t="str">
        <f aca="true">OFFSET(plates!$B$136,CODE(LEFT(B1311,1))-64,MID(B1311,2,3)+0)&amp;""</f>
        <v/>
      </c>
      <c r="F1311" s="46"/>
      <c r="G1311" s="47"/>
      <c r="H1311" s="47"/>
    </row>
    <row r="1312" customFormat="false" ht="12.8" hidden="false" customHeight="false" outlineLevel="0" collapsed="false">
      <c r="A1312" s="44" t="n">
        <v>14</v>
      </c>
      <c r="B1312" s="44" t="s">
        <v>220</v>
      </c>
      <c r="C1312" s="44" t="s">
        <v>158</v>
      </c>
      <c r="D1312" s="45" t="str">
        <f aca="true">OFFSET(plates!$B$136,CODE(LEFT(B1312,1))-64,-1)&amp;"-"&amp;OFFSET(plates!$B$106,-1,MID(B1312,2,3)+0)</f>
        <v>bc377-bc497</v>
      </c>
      <c r="E1312" s="46" t="str">
        <f aca="true">OFFSET(plates!$B$136,CODE(LEFT(B1312,1))-64,MID(B1312,2,3)+0)&amp;""</f>
        <v/>
      </c>
      <c r="F1312" s="46"/>
      <c r="G1312" s="47"/>
      <c r="H1312" s="47"/>
    </row>
    <row r="1313" customFormat="false" ht="12.8" hidden="false" customHeight="false" outlineLevel="0" collapsed="false">
      <c r="A1313" s="44" t="n">
        <v>14</v>
      </c>
      <c r="B1313" s="44" t="s">
        <v>221</v>
      </c>
      <c r="C1313" s="44" t="s">
        <v>158</v>
      </c>
      <c r="D1313" s="45" t="str">
        <f aca="true">OFFSET(plates!$B$136,CODE(LEFT(B1313,1))-64,-1)&amp;"-"&amp;OFFSET(plates!$B$106,-1,MID(B1313,2,3)+0)</f>
        <v>bc406-bc497</v>
      </c>
      <c r="E1313" s="46" t="str">
        <f aca="true">OFFSET(plates!$B$136,CODE(LEFT(B1313,1))-64,MID(B1313,2,3)+0)&amp;""</f>
        <v/>
      </c>
      <c r="F1313" s="46"/>
      <c r="G1313" s="47"/>
      <c r="H1313" s="47"/>
    </row>
    <row r="1314" customFormat="false" ht="12.8" hidden="false" customHeight="false" outlineLevel="0" collapsed="false">
      <c r="A1314" s="44" t="n">
        <v>14</v>
      </c>
      <c r="B1314" s="44" t="s">
        <v>222</v>
      </c>
      <c r="C1314" s="44" t="s">
        <v>158</v>
      </c>
      <c r="D1314" s="45" t="str">
        <f aca="true">OFFSET(plates!$B$136,CODE(LEFT(B1314,1))-64,-1)&amp;"-"&amp;OFFSET(plates!$B$106,-1,MID(B1314,2,3)+0)</f>
        <v>bc327-bc500</v>
      </c>
      <c r="E1314" s="46" t="str">
        <f aca="true">OFFSET(plates!$B$136,CODE(LEFT(B1314,1))-64,MID(B1314,2,3)+0)&amp;""</f>
        <v/>
      </c>
      <c r="F1314" s="46"/>
      <c r="G1314" s="47"/>
      <c r="H1314" s="47"/>
    </row>
    <row r="1315" customFormat="false" ht="12.8" hidden="false" customHeight="false" outlineLevel="0" collapsed="false">
      <c r="A1315" s="44" t="n">
        <v>14</v>
      </c>
      <c r="B1315" s="44" t="s">
        <v>223</v>
      </c>
      <c r="C1315" s="44" t="s">
        <v>158</v>
      </c>
      <c r="D1315" s="45" t="str">
        <f aca="true">OFFSET(plates!$B$136,CODE(LEFT(B1315,1))-64,-1)&amp;"-"&amp;OFFSET(plates!$B$106,-1,MID(B1315,2,3)+0)</f>
        <v>bc357-bc500</v>
      </c>
      <c r="E1315" s="46" t="str">
        <f aca="true">OFFSET(plates!$B$136,CODE(LEFT(B1315,1))-64,MID(B1315,2,3)+0)&amp;""</f>
        <v/>
      </c>
      <c r="F1315" s="46"/>
      <c r="G1315" s="47"/>
      <c r="H1315" s="47"/>
    </row>
    <row r="1316" customFormat="false" ht="12.8" hidden="false" customHeight="false" outlineLevel="0" collapsed="false">
      <c r="A1316" s="44" t="n">
        <v>14</v>
      </c>
      <c r="B1316" s="44" t="s">
        <v>224</v>
      </c>
      <c r="C1316" s="44" t="s">
        <v>158</v>
      </c>
      <c r="D1316" s="45" t="str">
        <f aca="true">OFFSET(plates!$B$136,CODE(LEFT(B1316,1))-64,-1)&amp;"-"&amp;OFFSET(plates!$B$106,-1,MID(B1316,2,3)+0)</f>
        <v>bc361-bc500</v>
      </c>
      <c r="E1316" s="46" t="str">
        <f aca="true">OFFSET(plates!$B$136,CODE(LEFT(B1316,1))-64,MID(B1316,2,3)+0)&amp;""</f>
        <v/>
      </c>
      <c r="F1316" s="46"/>
      <c r="G1316" s="47"/>
      <c r="H1316" s="47"/>
    </row>
    <row r="1317" customFormat="false" ht="12.8" hidden="false" customHeight="false" outlineLevel="0" collapsed="false">
      <c r="A1317" s="44" t="n">
        <v>14</v>
      </c>
      <c r="B1317" s="44" t="s">
        <v>225</v>
      </c>
      <c r="C1317" s="44" t="s">
        <v>158</v>
      </c>
      <c r="D1317" s="45" t="str">
        <f aca="true">OFFSET(plates!$B$136,CODE(LEFT(B1317,1))-64,-1)&amp;"-"&amp;OFFSET(plates!$B$106,-1,MID(B1317,2,3)+0)</f>
        <v>bc362-bc500</v>
      </c>
      <c r="E1317" s="46" t="str">
        <f aca="true">OFFSET(plates!$B$136,CODE(LEFT(B1317,1))-64,MID(B1317,2,3)+0)&amp;""</f>
        <v/>
      </c>
      <c r="F1317" s="46"/>
      <c r="G1317" s="47"/>
      <c r="H1317" s="47"/>
    </row>
    <row r="1318" customFormat="false" ht="12.8" hidden="false" customHeight="false" outlineLevel="0" collapsed="false">
      <c r="A1318" s="44" t="n">
        <v>14</v>
      </c>
      <c r="B1318" s="44" t="s">
        <v>226</v>
      </c>
      <c r="C1318" s="44" t="s">
        <v>158</v>
      </c>
      <c r="D1318" s="45" t="str">
        <f aca="true">OFFSET(plates!$B$136,CODE(LEFT(B1318,1))-64,-1)&amp;"-"&amp;OFFSET(plates!$B$106,-1,MID(B1318,2,3)+0)</f>
        <v>bc368-bc500</v>
      </c>
      <c r="E1318" s="46" t="str">
        <f aca="true">OFFSET(plates!$B$136,CODE(LEFT(B1318,1))-64,MID(B1318,2,3)+0)&amp;""</f>
        <v/>
      </c>
      <c r="F1318" s="46"/>
      <c r="G1318" s="47"/>
      <c r="H1318" s="47"/>
    </row>
    <row r="1319" customFormat="false" ht="12.8" hidden="false" customHeight="false" outlineLevel="0" collapsed="false">
      <c r="A1319" s="44" t="n">
        <v>14</v>
      </c>
      <c r="B1319" s="44" t="s">
        <v>227</v>
      </c>
      <c r="C1319" s="44" t="s">
        <v>158</v>
      </c>
      <c r="D1319" s="45" t="str">
        <f aca="true">OFFSET(plates!$B$136,CODE(LEFT(B1319,1))-64,-1)&amp;"-"&amp;OFFSET(plates!$B$106,-1,MID(B1319,2,3)+0)</f>
        <v>bc370-bc500</v>
      </c>
      <c r="E1319" s="46" t="str">
        <f aca="true">OFFSET(plates!$B$136,CODE(LEFT(B1319,1))-64,MID(B1319,2,3)+0)&amp;""</f>
        <v/>
      </c>
      <c r="F1319" s="46"/>
      <c r="G1319" s="47"/>
      <c r="H1319" s="47"/>
    </row>
    <row r="1320" customFormat="false" ht="12.8" hidden="false" customHeight="false" outlineLevel="0" collapsed="false">
      <c r="A1320" s="44" t="n">
        <v>14</v>
      </c>
      <c r="B1320" s="44" t="s">
        <v>228</v>
      </c>
      <c r="C1320" s="44" t="s">
        <v>158</v>
      </c>
      <c r="D1320" s="45" t="str">
        <f aca="true">OFFSET(plates!$B$136,CODE(LEFT(B1320,1))-64,-1)&amp;"-"&amp;OFFSET(plates!$B$106,-1,MID(B1320,2,3)+0)</f>
        <v>bc377-bc500</v>
      </c>
      <c r="E1320" s="46" t="str">
        <f aca="true">OFFSET(plates!$B$136,CODE(LEFT(B1320,1))-64,MID(B1320,2,3)+0)&amp;""</f>
        <v/>
      </c>
      <c r="F1320" s="46"/>
      <c r="G1320" s="47"/>
      <c r="H1320" s="47"/>
    </row>
    <row r="1321" customFormat="false" ht="12.8" hidden="false" customHeight="false" outlineLevel="0" collapsed="false">
      <c r="A1321" s="44" t="n">
        <v>14</v>
      </c>
      <c r="B1321" s="44" t="s">
        <v>229</v>
      </c>
      <c r="C1321" s="44" t="s">
        <v>158</v>
      </c>
      <c r="D1321" s="45" t="str">
        <f aca="true">OFFSET(plates!$B$136,CODE(LEFT(B1321,1))-64,-1)&amp;"-"&amp;OFFSET(plates!$B$106,-1,MID(B1321,2,3)+0)</f>
        <v>bc406-bc500</v>
      </c>
      <c r="E1321" s="46" t="str">
        <f aca="true">OFFSET(plates!$B$136,CODE(LEFT(B1321,1))-64,MID(B1321,2,3)+0)&amp;""</f>
        <v/>
      </c>
      <c r="F1321" s="46"/>
      <c r="G1321" s="47"/>
      <c r="H1321" s="47"/>
    </row>
    <row r="1322" customFormat="false" ht="12.8" hidden="false" customHeight="false" outlineLevel="0" collapsed="false">
      <c r="A1322" s="44" t="n">
        <v>14</v>
      </c>
      <c r="B1322" s="44" t="s">
        <v>230</v>
      </c>
      <c r="C1322" s="44" t="s">
        <v>158</v>
      </c>
      <c r="D1322" s="45" t="str">
        <f aca="true">OFFSET(plates!$B$136,CODE(LEFT(B1322,1))-64,-1)&amp;"-"&amp;OFFSET(plates!$B$106,-1,MID(B1322,2,3)+0)</f>
        <v>bc327-bc508</v>
      </c>
      <c r="E1322" s="46" t="str">
        <f aca="true">OFFSET(plates!$B$136,CODE(LEFT(B1322,1))-64,MID(B1322,2,3)+0)&amp;""</f>
        <v/>
      </c>
      <c r="F1322" s="46"/>
      <c r="G1322" s="47"/>
      <c r="H1322" s="47"/>
    </row>
    <row r="1323" customFormat="false" ht="12.8" hidden="false" customHeight="false" outlineLevel="0" collapsed="false">
      <c r="A1323" s="44" t="n">
        <v>14</v>
      </c>
      <c r="B1323" s="44" t="s">
        <v>231</v>
      </c>
      <c r="C1323" s="44" t="s">
        <v>158</v>
      </c>
      <c r="D1323" s="45" t="str">
        <f aca="true">OFFSET(plates!$B$136,CODE(LEFT(B1323,1))-64,-1)&amp;"-"&amp;OFFSET(plates!$B$106,-1,MID(B1323,2,3)+0)</f>
        <v>bc357-bc508</v>
      </c>
      <c r="E1323" s="46" t="str">
        <f aca="true">OFFSET(plates!$B$136,CODE(LEFT(B1323,1))-64,MID(B1323,2,3)+0)&amp;""</f>
        <v/>
      </c>
      <c r="F1323" s="46"/>
      <c r="G1323" s="47"/>
      <c r="H1323" s="47"/>
    </row>
    <row r="1324" customFormat="false" ht="12.8" hidden="false" customHeight="false" outlineLevel="0" collapsed="false">
      <c r="A1324" s="44" t="n">
        <v>14</v>
      </c>
      <c r="B1324" s="44" t="s">
        <v>232</v>
      </c>
      <c r="C1324" s="44" t="s">
        <v>158</v>
      </c>
      <c r="D1324" s="45" t="str">
        <f aca="true">OFFSET(plates!$B$136,CODE(LEFT(B1324,1))-64,-1)&amp;"-"&amp;OFFSET(plates!$B$106,-1,MID(B1324,2,3)+0)</f>
        <v>bc361-bc508</v>
      </c>
      <c r="E1324" s="46" t="str">
        <f aca="true">OFFSET(plates!$B$136,CODE(LEFT(B1324,1))-64,MID(B1324,2,3)+0)&amp;""</f>
        <v/>
      </c>
      <c r="F1324" s="46"/>
      <c r="G1324" s="47"/>
      <c r="H1324" s="47"/>
    </row>
    <row r="1325" s="48" customFormat="true" ht="12.8" hidden="false" customHeight="false" outlineLevel="0" collapsed="false">
      <c r="A1325" s="44" t="n">
        <v>14</v>
      </c>
      <c r="B1325" s="44" t="s">
        <v>233</v>
      </c>
      <c r="C1325" s="44" t="s">
        <v>158</v>
      </c>
      <c r="D1325" s="45" t="str">
        <f aca="true">OFFSET(plates!$B$136,CODE(LEFT(B1325,1))-64,-1)&amp;"-"&amp;OFFSET(plates!$B$106,-1,MID(B1325,2,3)+0)</f>
        <v>bc362-bc508</v>
      </c>
      <c r="E1325" s="46" t="str">
        <f aca="true">OFFSET(plates!$B$136,CODE(LEFT(B1325,1))-64,MID(B1325,2,3)+0)&amp;""</f>
        <v/>
      </c>
      <c r="F1325" s="46"/>
      <c r="G1325" s="47"/>
      <c r="H1325" s="47"/>
      <c r="I1325" s="36"/>
      <c r="J1325" s="36"/>
      <c r="K1325" s="36"/>
      <c r="L1325" s="36"/>
      <c r="M1325" s="36"/>
    </row>
    <row r="1326" customFormat="false" ht="12.8" hidden="false" customHeight="false" outlineLevel="0" collapsed="false">
      <c r="A1326" s="44" t="n">
        <v>14</v>
      </c>
      <c r="B1326" s="44" t="s">
        <v>234</v>
      </c>
      <c r="C1326" s="44" t="s">
        <v>158</v>
      </c>
      <c r="D1326" s="45" t="str">
        <f aca="true">OFFSET(plates!$B$136,CODE(LEFT(B1326,1))-64,-1)&amp;"-"&amp;OFFSET(plates!$B$106,-1,MID(B1326,2,3)+0)</f>
        <v>bc368-bc508</v>
      </c>
      <c r="E1326" s="46" t="str">
        <f aca="true">OFFSET(plates!$B$136,CODE(LEFT(B1326,1))-64,MID(B1326,2,3)+0)&amp;""</f>
        <v/>
      </c>
      <c r="F1326" s="46"/>
      <c r="G1326" s="47"/>
      <c r="H1326" s="47"/>
    </row>
    <row r="1327" customFormat="false" ht="12.8" hidden="false" customHeight="false" outlineLevel="0" collapsed="false">
      <c r="A1327" s="44" t="n">
        <v>14</v>
      </c>
      <c r="B1327" s="44" t="s">
        <v>235</v>
      </c>
      <c r="C1327" s="44" t="s">
        <v>158</v>
      </c>
      <c r="D1327" s="45" t="str">
        <f aca="true">OFFSET(plates!$B$136,CODE(LEFT(B1327,1))-64,-1)&amp;"-"&amp;OFFSET(plates!$B$106,-1,MID(B1327,2,3)+0)</f>
        <v>bc370-bc508</v>
      </c>
      <c r="E1327" s="46" t="str">
        <f aca="true">OFFSET(plates!$B$136,CODE(LEFT(B1327,1))-64,MID(B1327,2,3)+0)&amp;""</f>
        <v/>
      </c>
      <c r="F1327" s="46"/>
      <c r="G1327" s="47"/>
      <c r="H1327" s="47"/>
    </row>
    <row r="1328" customFormat="false" ht="12.8" hidden="false" customHeight="false" outlineLevel="0" collapsed="false">
      <c r="A1328" s="44" t="n">
        <v>14</v>
      </c>
      <c r="B1328" s="44" t="s">
        <v>236</v>
      </c>
      <c r="C1328" s="44" t="s">
        <v>158</v>
      </c>
      <c r="D1328" s="45" t="str">
        <f aca="true">OFFSET(plates!$B$136,CODE(LEFT(B1328,1))-64,-1)&amp;"-"&amp;OFFSET(plates!$B$106,-1,MID(B1328,2,3)+0)</f>
        <v>bc377-bc508</v>
      </c>
      <c r="E1328" s="46" t="str">
        <f aca="true">OFFSET(plates!$B$136,CODE(LEFT(B1328,1))-64,MID(B1328,2,3)+0)&amp;""</f>
        <v/>
      </c>
      <c r="F1328" s="46"/>
      <c r="G1328" s="47"/>
      <c r="H1328" s="47"/>
    </row>
    <row r="1329" customFormat="false" ht="12.8" hidden="false" customHeight="false" outlineLevel="0" collapsed="false">
      <c r="A1329" s="44" t="n">
        <v>14</v>
      </c>
      <c r="B1329" s="44" t="s">
        <v>237</v>
      </c>
      <c r="C1329" s="44" t="s">
        <v>158</v>
      </c>
      <c r="D1329" s="45" t="str">
        <f aca="true">OFFSET(plates!$B$136,CODE(LEFT(B1329,1))-64,-1)&amp;"-"&amp;OFFSET(plates!$B$106,-1,MID(B1329,2,3)+0)</f>
        <v>bc406-bc508</v>
      </c>
      <c r="E1329" s="46" t="str">
        <f aca="true">OFFSET(plates!$B$136,CODE(LEFT(B1329,1))-64,MID(B1329,2,3)+0)&amp;""</f>
        <v/>
      </c>
      <c r="F1329" s="46"/>
      <c r="G1329" s="47"/>
      <c r="H1329" s="47"/>
    </row>
    <row r="1330" customFormat="false" ht="12.8" hidden="false" customHeight="false" outlineLevel="0" collapsed="false">
      <c r="A1330" s="44" t="n">
        <v>14</v>
      </c>
      <c r="B1330" s="44" t="s">
        <v>238</v>
      </c>
      <c r="C1330" s="44" t="s">
        <v>158</v>
      </c>
      <c r="D1330" s="45" t="str">
        <f aca="true">OFFSET(plates!$B$136,CODE(LEFT(B1330,1))-64,-1)&amp;"-"&amp;OFFSET(plates!$B$106,-1,MID(B1330,2,3)+0)</f>
        <v>bc327-bc516</v>
      </c>
      <c r="E1330" s="46" t="str">
        <f aca="true">OFFSET(plates!$B$136,CODE(LEFT(B1330,1))-64,MID(B1330,2,3)+0)&amp;""</f>
        <v/>
      </c>
      <c r="F1330" s="46"/>
      <c r="G1330" s="47"/>
      <c r="H1330" s="47"/>
    </row>
    <row r="1331" customFormat="false" ht="12.8" hidden="false" customHeight="false" outlineLevel="0" collapsed="false">
      <c r="A1331" s="44" t="n">
        <v>14</v>
      </c>
      <c r="B1331" s="44" t="s">
        <v>239</v>
      </c>
      <c r="C1331" s="44" t="s">
        <v>158</v>
      </c>
      <c r="D1331" s="45" t="str">
        <f aca="true">OFFSET(plates!$B$136,CODE(LEFT(B1331,1))-64,-1)&amp;"-"&amp;OFFSET(plates!$B$106,-1,MID(B1331,2,3)+0)</f>
        <v>bc357-bc516</v>
      </c>
      <c r="E1331" s="46" t="str">
        <f aca="true">OFFSET(plates!$B$136,CODE(LEFT(B1331,1))-64,MID(B1331,2,3)+0)&amp;""</f>
        <v/>
      </c>
      <c r="F1331" s="46"/>
      <c r="G1331" s="47"/>
      <c r="H1331" s="47"/>
    </row>
    <row r="1332" customFormat="false" ht="12.8" hidden="false" customHeight="false" outlineLevel="0" collapsed="false">
      <c r="A1332" s="44" t="n">
        <v>14</v>
      </c>
      <c r="B1332" s="44" t="s">
        <v>240</v>
      </c>
      <c r="C1332" s="44" t="s">
        <v>158</v>
      </c>
      <c r="D1332" s="45" t="str">
        <f aca="true">OFFSET(plates!$B$136,CODE(LEFT(B1332,1))-64,-1)&amp;"-"&amp;OFFSET(plates!$B$106,-1,MID(B1332,2,3)+0)</f>
        <v>bc361-bc516</v>
      </c>
      <c r="E1332" s="46" t="str">
        <f aca="true">OFFSET(plates!$B$136,CODE(LEFT(B1332,1))-64,MID(B1332,2,3)+0)&amp;""</f>
        <v/>
      </c>
      <c r="F1332" s="46"/>
      <c r="G1332" s="47"/>
      <c r="H1332" s="47"/>
    </row>
    <row r="1333" customFormat="false" ht="12.8" hidden="false" customHeight="false" outlineLevel="0" collapsed="false">
      <c r="A1333" s="44" t="n">
        <v>14</v>
      </c>
      <c r="B1333" s="44" t="s">
        <v>241</v>
      </c>
      <c r="C1333" s="44" t="s">
        <v>158</v>
      </c>
      <c r="D1333" s="45" t="str">
        <f aca="true">OFFSET(plates!$B$136,CODE(LEFT(B1333,1))-64,-1)&amp;"-"&amp;OFFSET(plates!$B$106,-1,MID(B1333,2,3)+0)</f>
        <v>bc362-bc516</v>
      </c>
      <c r="E1333" s="46" t="str">
        <f aca="true">OFFSET(plates!$B$136,CODE(LEFT(B1333,1))-64,MID(B1333,2,3)+0)&amp;""</f>
        <v/>
      </c>
      <c r="F1333" s="46"/>
      <c r="G1333" s="47"/>
      <c r="H1333" s="47"/>
    </row>
    <row r="1334" customFormat="false" ht="12.8" hidden="false" customHeight="false" outlineLevel="0" collapsed="false">
      <c r="A1334" s="44" t="n">
        <v>14</v>
      </c>
      <c r="B1334" s="44" t="s">
        <v>242</v>
      </c>
      <c r="C1334" s="44" t="s">
        <v>158</v>
      </c>
      <c r="D1334" s="45" t="str">
        <f aca="true">OFFSET(plates!$B$136,CODE(LEFT(B1334,1))-64,-1)&amp;"-"&amp;OFFSET(plates!$B$106,-1,MID(B1334,2,3)+0)</f>
        <v>bc368-bc516</v>
      </c>
      <c r="E1334" s="46" t="str">
        <f aca="true">OFFSET(plates!$B$136,CODE(LEFT(B1334,1))-64,MID(B1334,2,3)+0)&amp;""</f>
        <v/>
      </c>
      <c r="F1334" s="46"/>
      <c r="G1334" s="47"/>
      <c r="H1334" s="47"/>
    </row>
    <row r="1335" customFormat="false" ht="12.8" hidden="false" customHeight="false" outlineLevel="0" collapsed="false">
      <c r="A1335" s="44" t="n">
        <v>14</v>
      </c>
      <c r="B1335" s="44" t="s">
        <v>243</v>
      </c>
      <c r="C1335" s="44" t="s">
        <v>158</v>
      </c>
      <c r="D1335" s="45" t="str">
        <f aca="true">OFFSET(plates!$B$136,CODE(LEFT(B1335,1))-64,-1)&amp;"-"&amp;OFFSET(plates!$B$106,-1,MID(B1335,2,3)+0)</f>
        <v>bc370-bc516</v>
      </c>
      <c r="E1335" s="46" t="str">
        <f aca="true">OFFSET(plates!$B$136,CODE(LEFT(B1335,1))-64,MID(B1335,2,3)+0)&amp;""</f>
        <v/>
      </c>
      <c r="F1335" s="46"/>
      <c r="G1335" s="47"/>
      <c r="H1335" s="47"/>
    </row>
    <row r="1336" customFormat="false" ht="12.8" hidden="false" customHeight="false" outlineLevel="0" collapsed="false">
      <c r="A1336" s="44" t="n">
        <v>14</v>
      </c>
      <c r="B1336" s="44" t="s">
        <v>244</v>
      </c>
      <c r="C1336" s="44" t="s">
        <v>158</v>
      </c>
      <c r="D1336" s="45" t="str">
        <f aca="true">OFFSET(plates!$B$136,CODE(LEFT(B1336,1))-64,-1)&amp;"-"&amp;OFFSET(plates!$B$106,-1,MID(B1336,2,3)+0)</f>
        <v>bc377-bc516</v>
      </c>
      <c r="E1336" s="46" t="str">
        <f aca="true">OFFSET(plates!$B$136,CODE(LEFT(B1336,1))-64,MID(B1336,2,3)+0)&amp;""</f>
        <v/>
      </c>
      <c r="F1336" s="46"/>
      <c r="G1336" s="47"/>
      <c r="H1336" s="47"/>
    </row>
    <row r="1337" customFormat="false" ht="12.8" hidden="false" customHeight="false" outlineLevel="0" collapsed="false">
      <c r="A1337" s="44" t="n">
        <v>14</v>
      </c>
      <c r="B1337" s="44" t="s">
        <v>245</v>
      </c>
      <c r="C1337" s="44" t="s">
        <v>158</v>
      </c>
      <c r="D1337" s="45" t="str">
        <f aca="true">OFFSET(plates!$B$136,CODE(LEFT(B1337,1))-64,-1)&amp;"-"&amp;OFFSET(plates!$B$106,-1,MID(B1337,2,3)+0)</f>
        <v>bc406-bc516</v>
      </c>
      <c r="E1337" s="46" t="str">
        <f aca="true">OFFSET(plates!$B$136,CODE(LEFT(B1337,1))-64,MID(B1337,2,3)+0)&amp;""</f>
        <v/>
      </c>
      <c r="F1337" s="46"/>
      <c r="G1337" s="47"/>
      <c r="H1337" s="47"/>
    </row>
    <row r="1338" customFormat="false" ht="12.8" hidden="false" customHeight="false" outlineLevel="0" collapsed="false">
      <c r="A1338" s="44" t="n">
        <v>14</v>
      </c>
      <c r="B1338" s="44" t="s">
        <v>246</v>
      </c>
      <c r="C1338" s="44" t="s">
        <v>158</v>
      </c>
      <c r="D1338" s="45" t="str">
        <f aca="true">OFFSET(plates!$B$136,CODE(LEFT(B1338,1))-64,-1)&amp;"-"&amp;OFFSET(plates!$B$106,-1,MID(B1338,2,3)+0)</f>
        <v>bc327-bc538</v>
      </c>
      <c r="E1338" s="46" t="str">
        <f aca="true">OFFSET(plates!$B$136,CODE(LEFT(B1338,1))-64,MID(B1338,2,3)+0)&amp;""</f>
        <v/>
      </c>
      <c r="F1338" s="46"/>
      <c r="G1338" s="47"/>
      <c r="H1338" s="47"/>
    </row>
    <row r="1339" customFormat="false" ht="12.8" hidden="false" customHeight="false" outlineLevel="0" collapsed="false">
      <c r="A1339" s="44" t="n">
        <v>14</v>
      </c>
      <c r="B1339" s="44" t="s">
        <v>247</v>
      </c>
      <c r="C1339" s="44" t="s">
        <v>158</v>
      </c>
      <c r="D1339" s="45" t="str">
        <f aca="true">OFFSET(plates!$B$136,CODE(LEFT(B1339,1))-64,-1)&amp;"-"&amp;OFFSET(plates!$B$106,-1,MID(B1339,2,3)+0)</f>
        <v>bc357-bc538</v>
      </c>
      <c r="E1339" s="46" t="str">
        <f aca="true">OFFSET(plates!$B$136,CODE(LEFT(B1339,1))-64,MID(B1339,2,3)+0)&amp;""</f>
        <v/>
      </c>
      <c r="F1339" s="46"/>
      <c r="G1339" s="47"/>
      <c r="H1339" s="47"/>
    </row>
    <row r="1340" customFormat="false" ht="12.8" hidden="false" customHeight="false" outlineLevel="0" collapsed="false">
      <c r="A1340" s="44" t="n">
        <v>14</v>
      </c>
      <c r="B1340" s="44" t="s">
        <v>248</v>
      </c>
      <c r="C1340" s="44" t="s">
        <v>158</v>
      </c>
      <c r="D1340" s="45" t="str">
        <f aca="true">OFFSET(plates!$B$136,CODE(LEFT(B1340,1))-64,-1)&amp;"-"&amp;OFFSET(plates!$B$106,-1,MID(B1340,2,3)+0)</f>
        <v>bc361-bc538</v>
      </c>
      <c r="E1340" s="46" t="str">
        <f aca="true">OFFSET(plates!$B$136,CODE(LEFT(B1340,1))-64,MID(B1340,2,3)+0)&amp;""</f>
        <v/>
      </c>
      <c r="F1340" s="46"/>
      <c r="G1340" s="47"/>
      <c r="H1340" s="47"/>
    </row>
    <row r="1341" customFormat="false" ht="12.8" hidden="false" customHeight="false" outlineLevel="0" collapsed="false">
      <c r="A1341" s="44" t="n">
        <v>14</v>
      </c>
      <c r="B1341" s="44" t="s">
        <v>249</v>
      </c>
      <c r="C1341" s="44" t="s">
        <v>158</v>
      </c>
      <c r="D1341" s="45" t="str">
        <f aca="true">OFFSET(plates!$B$136,CODE(LEFT(B1341,1))-64,-1)&amp;"-"&amp;OFFSET(plates!$B$106,-1,MID(B1341,2,3)+0)</f>
        <v>bc362-bc538</v>
      </c>
      <c r="E1341" s="46" t="str">
        <f aca="true">OFFSET(plates!$B$136,CODE(LEFT(B1341,1))-64,MID(B1341,2,3)+0)&amp;""</f>
        <v/>
      </c>
      <c r="F1341" s="46"/>
      <c r="G1341" s="47"/>
      <c r="H1341" s="47"/>
    </row>
    <row r="1342" customFormat="false" ht="12.8" hidden="false" customHeight="false" outlineLevel="0" collapsed="false">
      <c r="A1342" s="44" t="n">
        <v>14</v>
      </c>
      <c r="B1342" s="44" t="s">
        <v>250</v>
      </c>
      <c r="C1342" s="44" t="s">
        <v>158</v>
      </c>
      <c r="D1342" s="45" t="str">
        <f aca="true">OFFSET(plates!$B$136,CODE(LEFT(B1342,1))-64,-1)&amp;"-"&amp;OFFSET(plates!$B$106,-1,MID(B1342,2,3)+0)</f>
        <v>bc368-bc538</v>
      </c>
      <c r="E1342" s="46" t="str">
        <f aca="true">OFFSET(plates!$B$136,CODE(LEFT(B1342,1))-64,MID(B1342,2,3)+0)&amp;""</f>
        <v/>
      </c>
      <c r="F1342" s="46"/>
      <c r="G1342" s="47"/>
      <c r="H1342" s="47"/>
    </row>
    <row r="1343" customFormat="false" ht="12.8" hidden="false" customHeight="false" outlineLevel="0" collapsed="false">
      <c r="A1343" s="44" t="n">
        <v>14</v>
      </c>
      <c r="B1343" s="44" t="s">
        <v>251</v>
      </c>
      <c r="C1343" s="44" t="s">
        <v>158</v>
      </c>
      <c r="D1343" s="45" t="str">
        <f aca="true">OFFSET(plates!$B$136,CODE(LEFT(B1343,1))-64,-1)&amp;"-"&amp;OFFSET(plates!$B$106,-1,MID(B1343,2,3)+0)</f>
        <v>bc370-bc538</v>
      </c>
      <c r="E1343" s="46" t="str">
        <f aca="true">OFFSET(plates!$B$136,CODE(LEFT(B1343,1))-64,MID(B1343,2,3)+0)&amp;""</f>
        <v/>
      </c>
      <c r="F1343" s="46"/>
      <c r="G1343" s="47"/>
      <c r="H1343" s="47"/>
      <c r="I1343" s="36"/>
      <c r="J1343" s="36"/>
      <c r="K1343" s="36"/>
      <c r="L1343" s="36"/>
      <c r="M1343" s="36"/>
    </row>
    <row r="1344" customFormat="false" ht="12.8" hidden="false" customHeight="false" outlineLevel="0" collapsed="false">
      <c r="A1344" s="44" t="n">
        <v>14</v>
      </c>
      <c r="B1344" s="44" t="s">
        <v>252</v>
      </c>
      <c r="C1344" s="44" t="s">
        <v>158</v>
      </c>
      <c r="D1344" s="45" t="str">
        <f aca="true">OFFSET(plates!$B$136,CODE(LEFT(B1344,1))-64,-1)&amp;"-"&amp;OFFSET(plates!$B$106,-1,MID(B1344,2,3)+0)</f>
        <v>bc377-bc538</v>
      </c>
      <c r="E1344" s="46" t="str">
        <f aca="true">OFFSET(plates!$B$136,CODE(LEFT(B1344,1))-64,MID(B1344,2,3)+0)&amp;""</f>
        <v/>
      </c>
      <c r="F1344" s="46"/>
      <c r="G1344" s="47"/>
      <c r="H1344" s="47"/>
    </row>
    <row r="1345" customFormat="false" ht="12.8" hidden="false" customHeight="false" outlineLevel="0" collapsed="false">
      <c r="A1345" s="44" t="n">
        <v>14</v>
      </c>
      <c r="B1345" s="44" t="s">
        <v>253</v>
      </c>
      <c r="C1345" s="44" t="s">
        <v>158</v>
      </c>
      <c r="D1345" s="45" t="str">
        <f aca="true">OFFSET(plates!$B$136,CODE(LEFT(B1345,1))-64,-1)&amp;"-"&amp;OFFSET(plates!$B$106,-1,MID(B1345,2,3)+0)</f>
        <v>bc406-bc538</v>
      </c>
      <c r="E1345" s="46" t="str">
        <f aca="true">OFFSET(plates!$B$136,CODE(LEFT(B1345,1))-64,MID(B1345,2,3)+0)&amp;""</f>
        <v/>
      </c>
      <c r="F1345" s="46"/>
      <c r="G1345" s="47"/>
      <c r="H1345" s="47"/>
      <c r="I1345" s="36"/>
      <c r="J1345" s="36"/>
      <c r="K1345" s="36"/>
    </row>
    <row r="1346" customFormat="false" ht="12.8" hidden="false" customHeight="false" outlineLevel="0" collapsed="false">
      <c r="A1346" s="44" t="n">
        <v>15</v>
      </c>
      <c r="B1346" s="44" t="s">
        <v>157</v>
      </c>
      <c r="C1346" s="44" t="s">
        <v>158</v>
      </c>
      <c r="D1346" s="45" t="str">
        <f aca="true">OFFSET(plates!$B$146,CODE(LEFT(B1346,1))-64,-1)&amp;"-"&amp;OFFSET(plates!$B$106,-1,MID(B1346,2,3)+0)</f>
        <v>bc411-bc411</v>
      </c>
      <c r="E1346" s="46" t="str">
        <f aca="true">OFFSET(plates!$B$146,CODE(LEFT(B1346,1))-64,MID(B1346,2,3)+0)&amp;""</f>
        <v/>
      </c>
      <c r="F1346" s="46"/>
      <c r="G1346" s="47"/>
      <c r="H1346" s="47"/>
    </row>
    <row r="1347" customFormat="false" ht="12.8" hidden="false" customHeight="false" outlineLevel="0" collapsed="false">
      <c r="A1347" s="44" t="n">
        <v>15</v>
      </c>
      <c r="B1347" s="44" t="s">
        <v>159</v>
      </c>
      <c r="C1347" s="44" t="s">
        <v>158</v>
      </c>
      <c r="D1347" s="45" t="str">
        <f aca="true">OFFSET(plates!$B$146,CODE(LEFT(B1347,1))-64,-1)&amp;"-"&amp;OFFSET(plates!$B$106,-1,MID(B1347,2,3)+0)</f>
        <v>bc418-bc411</v>
      </c>
      <c r="E1347" s="46" t="str">
        <f aca="true">OFFSET(plates!$B$146,CODE(LEFT(B1347,1))-64,MID(B1347,2,3)+0)&amp;""</f>
        <v/>
      </c>
      <c r="F1347" s="46"/>
      <c r="G1347" s="47"/>
      <c r="H1347" s="47"/>
    </row>
    <row r="1348" customFormat="false" ht="12.8" hidden="false" customHeight="false" outlineLevel="0" collapsed="false">
      <c r="A1348" s="44" t="n">
        <v>15</v>
      </c>
      <c r="B1348" s="44" t="s">
        <v>160</v>
      </c>
      <c r="C1348" s="44" t="s">
        <v>158</v>
      </c>
      <c r="D1348" s="45" t="str">
        <f aca="true">OFFSET(plates!$B$146,CODE(LEFT(B1348,1))-64,-1)&amp;"-"&amp;OFFSET(plates!$B$106,-1,MID(B1348,2,3)+0)</f>
        <v>bc449-bc411</v>
      </c>
      <c r="E1348" s="46" t="str">
        <f aca="true">OFFSET(plates!$B$146,CODE(LEFT(B1348,1))-64,MID(B1348,2,3)+0)&amp;""</f>
        <v/>
      </c>
      <c r="F1348" s="46"/>
      <c r="G1348" s="47"/>
      <c r="H1348" s="47"/>
    </row>
    <row r="1349" customFormat="false" ht="12.8" hidden="false" customHeight="false" outlineLevel="0" collapsed="false">
      <c r="A1349" s="44" t="n">
        <v>15</v>
      </c>
      <c r="B1349" s="44" t="s">
        <v>161</v>
      </c>
      <c r="C1349" s="44" t="s">
        <v>158</v>
      </c>
      <c r="D1349" s="45" t="str">
        <f aca="true">OFFSET(plates!$B$146,CODE(LEFT(B1349,1))-64,-1)&amp;"-"&amp;OFFSET(plates!$B$106,-1,MID(B1349,2,3)+0)</f>
        <v>bc462-bc411</v>
      </c>
      <c r="E1349" s="46" t="str">
        <f aca="true">OFFSET(plates!$B$146,CODE(LEFT(B1349,1))-64,MID(B1349,2,3)+0)&amp;""</f>
        <v/>
      </c>
      <c r="F1349" s="46"/>
      <c r="G1349" s="47"/>
      <c r="H1349" s="47"/>
    </row>
    <row r="1350" customFormat="false" ht="12.8" hidden="false" customHeight="false" outlineLevel="0" collapsed="false">
      <c r="A1350" s="44" t="n">
        <v>15</v>
      </c>
      <c r="B1350" s="44" t="s">
        <v>162</v>
      </c>
      <c r="C1350" s="44" t="s">
        <v>158</v>
      </c>
      <c r="D1350" s="45" t="str">
        <f aca="true">OFFSET(plates!$B$146,CODE(LEFT(B1350,1))-64,-1)&amp;"-"&amp;OFFSET(plates!$B$106,-1,MID(B1350,2,3)+0)</f>
        <v>bc485-bc411</v>
      </c>
      <c r="E1350" s="46" t="str">
        <f aca="true">OFFSET(plates!$B$146,CODE(LEFT(B1350,1))-64,MID(B1350,2,3)+0)&amp;""</f>
        <v/>
      </c>
      <c r="F1350" s="46"/>
      <c r="G1350" s="47"/>
      <c r="H1350" s="47"/>
    </row>
    <row r="1351" customFormat="false" ht="12.8" hidden="false" customHeight="false" outlineLevel="0" collapsed="false">
      <c r="A1351" s="44" t="n">
        <v>15</v>
      </c>
      <c r="B1351" s="44" t="s">
        <v>163</v>
      </c>
      <c r="C1351" s="44" t="s">
        <v>158</v>
      </c>
      <c r="D1351" s="45" t="str">
        <f aca="true">OFFSET(plates!$B$146,CODE(LEFT(B1351,1))-64,-1)&amp;"-"&amp;OFFSET(plates!$B$106,-1,MID(B1351,2,3)+0)</f>
        <v>bc486-bc411</v>
      </c>
      <c r="E1351" s="46" t="str">
        <f aca="true">OFFSET(plates!$B$146,CODE(LEFT(B1351,1))-64,MID(B1351,2,3)+0)&amp;""</f>
        <v/>
      </c>
      <c r="F1351" s="46"/>
      <c r="G1351" s="47"/>
      <c r="H1351" s="47"/>
    </row>
    <row r="1352" customFormat="false" ht="12.8" hidden="false" customHeight="false" outlineLevel="0" collapsed="false">
      <c r="A1352" s="44" t="n">
        <v>15</v>
      </c>
      <c r="B1352" s="44" t="s">
        <v>164</v>
      </c>
      <c r="C1352" s="44" t="s">
        <v>158</v>
      </c>
      <c r="D1352" s="45" t="str">
        <f aca="true">OFFSET(plates!$B$146,CODE(LEFT(B1352,1))-64,-1)&amp;"-"&amp;OFFSET(plates!$B$106,-1,MID(B1352,2,3)+0)</f>
        <v>bc494-bc411</v>
      </c>
      <c r="E1352" s="46" t="str">
        <f aca="true">OFFSET(plates!$B$146,CODE(LEFT(B1352,1))-64,MID(B1352,2,3)+0)&amp;""</f>
        <v/>
      </c>
      <c r="F1352" s="46"/>
      <c r="G1352" s="47"/>
      <c r="H1352" s="47"/>
    </row>
    <row r="1353" customFormat="false" ht="12.8" hidden="false" customHeight="false" outlineLevel="0" collapsed="false">
      <c r="A1353" s="44" t="n">
        <v>15</v>
      </c>
      <c r="B1353" s="44" t="s">
        <v>165</v>
      </c>
      <c r="C1353" s="44" t="s">
        <v>158</v>
      </c>
      <c r="D1353" s="45" t="str">
        <f aca="true">OFFSET(plates!$B$146,CODE(LEFT(B1353,1))-64,-1)&amp;"-"&amp;OFFSET(plates!$B$106,-1,MID(B1353,2,3)+0)</f>
        <v>bc538-bc411</v>
      </c>
      <c r="E1353" s="46" t="str">
        <f aca="true">OFFSET(plates!$B$146,CODE(LEFT(B1353,1))-64,MID(B1353,2,3)+0)&amp;""</f>
        <v/>
      </c>
      <c r="F1353" s="46"/>
      <c r="G1353" s="47"/>
      <c r="H1353" s="47"/>
    </row>
    <row r="1354" customFormat="false" ht="12.8" hidden="false" customHeight="false" outlineLevel="0" collapsed="false">
      <c r="A1354" s="44" t="n">
        <v>15</v>
      </c>
      <c r="B1354" s="44" t="s">
        <v>166</v>
      </c>
      <c r="C1354" s="44" t="s">
        <v>158</v>
      </c>
      <c r="D1354" s="45" t="str">
        <f aca="true">OFFSET(plates!$B$146,CODE(LEFT(B1354,1))-64,-1)&amp;"-"&amp;OFFSET(plates!$B$106,-1,MID(B1354,2,3)+0)</f>
        <v>bc411-bc413</v>
      </c>
      <c r="E1354" s="46" t="str">
        <f aca="true">OFFSET(plates!$B$146,CODE(LEFT(B1354,1))-64,MID(B1354,2,3)+0)&amp;""</f>
        <v/>
      </c>
      <c r="F1354" s="46"/>
      <c r="G1354" s="47"/>
      <c r="H1354" s="47"/>
    </row>
    <row r="1355" customFormat="false" ht="12.8" hidden="false" customHeight="false" outlineLevel="0" collapsed="false">
      <c r="A1355" s="44" t="n">
        <v>15</v>
      </c>
      <c r="B1355" s="44" t="s">
        <v>167</v>
      </c>
      <c r="C1355" s="44" t="s">
        <v>158</v>
      </c>
      <c r="D1355" s="45" t="str">
        <f aca="true">OFFSET(plates!$B$146,CODE(LEFT(B1355,1))-64,-1)&amp;"-"&amp;OFFSET(plates!$B$106,-1,MID(B1355,2,3)+0)</f>
        <v>bc418-bc413</v>
      </c>
      <c r="E1355" s="46" t="str">
        <f aca="true">OFFSET(plates!$B$146,CODE(LEFT(B1355,1))-64,MID(B1355,2,3)+0)&amp;""</f>
        <v/>
      </c>
      <c r="F1355" s="46"/>
      <c r="G1355" s="47"/>
      <c r="H1355" s="47"/>
    </row>
    <row r="1356" customFormat="false" ht="12.8" hidden="false" customHeight="false" outlineLevel="0" collapsed="false">
      <c r="A1356" s="44" t="n">
        <v>15</v>
      </c>
      <c r="B1356" s="44" t="s">
        <v>168</v>
      </c>
      <c r="C1356" s="44" t="s">
        <v>158</v>
      </c>
      <c r="D1356" s="45" t="str">
        <f aca="true">OFFSET(plates!$B$146,CODE(LEFT(B1356,1))-64,-1)&amp;"-"&amp;OFFSET(plates!$B$106,-1,MID(B1356,2,3)+0)</f>
        <v>bc449-bc413</v>
      </c>
      <c r="E1356" s="46" t="str">
        <f aca="true">OFFSET(plates!$B$146,CODE(LEFT(B1356,1))-64,MID(B1356,2,3)+0)&amp;""</f>
        <v/>
      </c>
      <c r="F1356" s="46"/>
      <c r="G1356" s="47"/>
      <c r="H1356" s="47"/>
    </row>
    <row r="1357" customFormat="false" ht="12.8" hidden="false" customHeight="false" outlineLevel="0" collapsed="false">
      <c r="A1357" s="44" t="n">
        <v>15</v>
      </c>
      <c r="B1357" s="44" t="s">
        <v>169</v>
      </c>
      <c r="C1357" s="44" t="s">
        <v>158</v>
      </c>
      <c r="D1357" s="45" t="str">
        <f aca="true">OFFSET(plates!$B$146,CODE(LEFT(B1357,1))-64,-1)&amp;"-"&amp;OFFSET(plates!$B$106,-1,MID(B1357,2,3)+0)</f>
        <v>bc462-bc413</v>
      </c>
      <c r="E1357" s="46" t="str">
        <f aca="true">OFFSET(plates!$B$146,CODE(LEFT(B1357,1))-64,MID(B1357,2,3)+0)&amp;""</f>
        <v/>
      </c>
      <c r="F1357" s="46"/>
      <c r="G1357" s="47"/>
      <c r="H1357" s="47"/>
    </row>
    <row r="1358" customFormat="false" ht="12.8" hidden="false" customHeight="false" outlineLevel="0" collapsed="false">
      <c r="A1358" s="44" t="n">
        <v>15</v>
      </c>
      <c r="B1358" s="44" t="s">
        <v>170</v>
      </c>
      <c r="C1358" s="44" t="s">
        <v>158</v>
      </c>
      <c r="D1358" s="45" t="str">
        <f aca="true">OFFSET(plates!$B$146,CODE(LEFT(B1358,1))-64,-1)&amp;"-"&amp;OFFSET(plates!$B$106,-1,MID(B1358,2,3)+0)</f>
        <v>bc485-bc413</v>
      </c>
      <c r="E1358" s="46" t="str">
        <f aca="true">OFFSET(plates!$B$146,CODE(LEFT(B1358,1))-64,MID(B1358,2,3)+0)&amp;""</f>
        <v/>
      </c>
      <c r="F1358" s="46"/>
      <c r="G1358" s="47"/>
      <c r="H1358" s="47"/>
    </row>
    <row r="1359" customFormat="false" ht="12.8" hidden="false" customHeight="false" outlineLevel="0" collapsed="false">
      <c r="A1359" s="44" t="n">
        <v>15</v>
      </c>
      <c r="B1359" s="44" t="s">
        <v>171</v>
      </c>
      <c r="C1359" s="44" t="s">
        <v>158</v>
      </c>
      <c r="D1359" s="45" t="str">
        <f aca="true">OFFSET(plates!$B$146,CODE(LEFT(B1359,1))-64,-1)&amp;"-"&amp;OFFSET(plates!$B$106,-1,MID(B1359,2,3)+0)</f>
        <v>bc486-bc413</v>
      </c>
      <c r="E1359" s="46" t="str">
        <f aca="true">OFFSET(plates!$B$146,CODE(LEFT(B1359,1))-64,MID(B1359,2,3)+0)&amp;""</f>
        <v/>
      </c>
      <c r="F1359" s="46"/>
      <c r="G1359" s="47"/>
      <c r="H1359" s="47"/>
    </row>
    <row r="1360" customFormat="false" ht="12.8" hidden="false" customHeight="false" outlineLevel="0" collapsed="false">
      <c r="A1360" s="44" t="n">
        <v>15</v>
      </c>
      <c r="B1360" s="44" t="s">
        <v>172</v>
      </c>
      <c r="C1360" s="44" t="s">
        <v>158</v>
      </c>
      <c r="D1360" s="45" t="str">
        <f aca="true">OFFSET(plates!$B$146,CODE(LEFT(B1360,1))-64,-1)&amp;"-"&amp;OFFSET(plates!$B$106,-1,MID(B1360,2,3)+0)</f>
        <v>bc494-bc413</v>
      </c>
      <c r="E1360" s="46" t="str">
        <f aca="true">OFFSET(plates!$B$146,CODE(LEFT(B1360,1))-64,MID(B1360,2,3)+0)&amp;""</f>
        <v/>
      </c>
      <c r="F1360" s="46"/>
      <c r="G1360" s="47"/>
      <c r="H1360" s="47"/>
    </row>
    <row r="1361" customFormat="false" ht="12.8" hidden="false" customHeight="false" outlineLevel="0" collapsed="false">
      <c r="A1361" s="44" t="n">
        <v>15</v>
      </c>
      <c r="B1361" s="44" t="s">
        <v>173</v>
      </c>
      <c r="C1361" s="44" t="s">
        <v>158</v>
      </c>
      <c r="D1361" s="45" t="str">
        <f aca="true">OFFSET(plates!$B$146,CODE(LEFT(B1361,1))-64,-1)&amp;"-"&amp;OFFSET(plates!$B$106,-1,MID(B1361,2,3)+0)</f>
        <v>bc538-bc413</v>
      </c>
      <c r="E1361" s="46" t="str">
        <f aca="true">OFFSET(plates!$B$146,CODE(LEFT(B1361,1))-64,MID(B1361,2,3)+0)&amp;""</f>
        <v/>
      </c>
      <c r="F1361" s="46"/>
      <c r="G1361" s="47"/>
      <c r="H1361" s="47"/>
    </row>
    <row r="1362" customFormat="false" ht="12.8" hidden="false" customHeight="false" outlineLevel="0" collapsed="false">
      <c r="A1362" s="44" t="n">
        <v>15</v>
      </c>
      <c r="B1362" s="44" t="s">
        <v>174</v>
      </c>
      <c r="C1362" s="44" t="s">
        <v>158</v>
      </c>
      <c r="D1362" s="45" t="str">
        <f aca="true">OFFSET(plates!$B$146,CODE(LEFT(B1362,1))-64,-1)&amp;"-"&amp;OFFSET(plates!$B$106,-1,MID(B1362,2,3)+0)</f>
        <v>bc411-bc414</v>
      </c>
      <c r="E1362" s="46" t="str">
        <f aca="true">OFFSET(plates!$B$146,CODE(LEFT(B1362,1))-64,MID(B1362,2,3)+0)&amp;""</f>
        <v/>
      </c>
      <c r="F1362" s="46"/>
      <c r="G1362" s="47"/>
      <c r="H1362" s="47"/>
    </row>
    <row r="1363" customFormat="false" ht="12.8" hidden="false" customHeight="false" outlineLevel="0" collapsed="false">
      <c r="A1363" s="44" t="n">
        <v>15</v>
      </c>
      <c r="B1363" s="44" t="s">
        <v>175</v>
      </c>
      <c r="C1363" s="44" t="s">
        <v>158</v>
      </c>
      <c r="D1363" s="45" t="str">
        <f aca="true">OFFSET(plates!$B$146,CODE(LEFT(B1363,1))-64,-1)&amp;"-"&amp;OFFSET(plates!$B$106,-1,MID(B1363,2,3)+0)</f>
        <v>bc418-bc414</v>
      </c>
      <c r="E1363" s="46" t="str">
        <f aca="true">OFFSET(plates!$B$146,CODE(LEFT(B1363,1))-64,MID(B1363,2,3)+0)&amp;""</f>
        <v/>
      </c>
      <c r="F1363" s="46"/>
      <c r="G1363" s="47"/>
      <c r="H1363" s="47"/>
    </row>
    <row r="1364" customFormat="false" ht="12.8" hidden="false" customHeight="false" outlineLevel="0" collapsed="false">
      <c r="A1364" s="44" t="n">
        <v>15</v>
      </c>
      <c r="B1364" s="44" t="s">
        <v>176</v>
      </c>
      <c r="C1364" s="44" t="s">
        <v>158</v>
      </c>
      <c r="D1364" s="45" t="str">
        <f aca="true">OFFSET(plates!$B$146,CODE(LEFT(B1364,1))-64,-1)&amp;"-"&amp;OFFSET(plates!$B$106,-1,MID(B1364,2,3)+0)</f>
        <v>bc449-bc414</v>
      </c>
      <c r="E1364" s="46" t="str">
        <f aca="true">OFFSET(plates!$B$146,CODE(LEFT(B1364,1))-64,MID(B1364,2,3)+0)&amp;""</f>
        <v/>
      </c>
      <c r="F1364" s="46"/>
      <c r="G1364" s="47"/>
      <c r="H1364" s="47"/>
    </row>
    <row r="1365" customFormat="false" ht="12.8" hidden="false" customHeight="false" outlineLevel="0" collapsed="false">
      <c r="A1365" s="44" t="n">
        <v>15</v>
      </c>
      <c r="B1365" s="44" t="s">
        <v>177</v>
      </c>
      <c r="C1365" s="44" t="s">
        <v>158</v>
      </c>
      <c r="D1365" s="45" t="str">
        <f aca="true">OFFSET(plates!$B$146,CODE(LEFT(B1365,1))-64,-1)&amp;"-"&amp;OFFSET(plates!$B$106,-1,MID(B1365,2,3)+0)</f>
        <v>bc462-bc414</v>
      </c>
      <c r="E1365" s="46" t="str">
        <f aca="true">OFFSET(plates!$B$146,CODE(LEFT(B1365,1))-64,MID(B1365,2,3)+0)&amp;""</f>
        <v/>
      </c>
      <c r="F1365" s="46"/>
      <c r="G1365" s="47"/>
      <c r="H1365" s="47"/>
    </row>
    <row r="1366" customFormat="false" ht="12.8" hidden="false" customHeight="false" outlineLevel="0" collapsed="false">
      <c r="A1366" s="44" t="n">
        <v>15</v>
      </c>
      <c r="B1366" s="44" t="s">
        <v>178</v>
      </c>
      <c r="C1366" s="44" t="s">
        <v>158</v>
      </c>
      <c r="D1366" s="45" t="str">
        <f aca="true">OFFSET(plates!$B$146,CODE(LEFT(B1366,1))-64,-1)&amp;"-"&amp;OFFSET(plates!$B$106,-1,MID(B1366,2,3)+0)</f>
        <v>bc485-bc414</v>
      </c>
      <c r="E1366" s="46" t="str">
        <f aca="true">OFFSET(plates!$B$146,CODE(LEFT(B1366,1))-64,MID(B1366,2,3)+0)&amp;""</f>
        <v/>
      </c>
      <c r="F1366" s="46"/>
      <c r="G1366" s="47"/>
      <c r="H1366" s="47"/>
    </row>
    <row r="1367" customFormat="false" ht="12.8" hidden="false" customHeight="false" outlineLevel="0" collapsed="false">
      <c r="A1367" s="44" t="n">
        <v>15</v>
      </c>
      <c r="B1367" s="44" t="s">
        <v>179</v>
      </c>
      <c r="C1367" s="44" t="s">
        <v>158</v>
      </c>
      <c r="D1367" s="45" t="str">
        <f aca="true">OFFSET(plates!$B$146,CODE(LEFT(B1367,1))-64,-1)&amp;"-"&amp;OFFSET(plates!$B$106,-1,MID(B1367,2,3)+0)</f>
        <v>bc486-bc414</v>
      </c>
      <c r="E1367" s="46" t="str">
        <f aca="true">OFFSET(plates!$B$146,CODE(LEFT(B1367,1))-64,MID(B1367,2,3)+0)&amp;""</f>
        <v/>
      </c>
      <c r="F1367" s="46"/>
      <c r="G1367" s="47"/>
      <c r="H1367" s="47"/>
    </row>
    <row r="1368" customFormat="false" ht="12.8" hidden="false" customHeight="false" outlineLevel="0" collapsed="false">
      <c r="A1368" s="44" t="n">
        <v>15</v>
      </c>
      <c r="B1368" s="44" t="s">
        <v>180</v>
      </c>
      <c r="C1368" s="44" t="s">
        <v>158</v>
      </c>
      <c r="D1368" s="45" t="str">
        <f aca="true">OFFSET(plates!$B$146,CODE(LEFT(B1368,1))-64,-1)&amp;"-"&amp;OFFSET(plates!$B$106,-1,MID(B1368,2,3)+0)</f>
        <v>bc494-bc414</v>
      </c>
      <c r="E1368" s="46" t="str">
        <f aca="true">OFFSET(plates!$B$146,CODE(LEFT(B1368,1))-64,MID(B1368,2,3)+0)&amp;""</f>
        <v/>
      </c>
      <c r="F1368" s="46"/>
      <c r="G1368" s="47"/>
      <c r="H1368" s="47"/>
    </row>
    <row r="1369" customFormat="false" ht="12.8" hidden="false" customHeight="false" outlineLevel="0" collapsed="false">
      <c r="A1369" s="44" t="n">
        <v>15</v>
      </c>
      <c r="B1369" s="44" t="s">
        <v>181</v>
      </c>
      <c r="C1369" s="44" t="s">
        <v>158</v>
      </c>
      <c r="D1369" s="45" t="str">
        <f aca="true">OFFSET(plates!$B$146,CODE(LEFT(B1369,1))-64,-1)&amp;"-"&amp;OFFSET(plates!$B$106,-1,MID(B1369,2,3)+0)</f>
        <v>bc538-bc414</v>
      </c>
      <c r="E1369" s="46" t="str">
        <f aca="true">OFFSET(plates!$B$146,CODE(LEFT(B1369,1))-64,MID(B1369,2,3)+0)&amp;""</f>
        <v/>
      </c>
      <c r="F1369" s="46"/>
      <c r="G1369" s="47"/>
      <c r="H1369" s="47"/>
    </row>
    <row r="1370" customFormat="false" ht="12.8" hidden="false" customHeight="false" outlineLevel="0" collapsed="false">
      <c r="A1370" s="44" t="n">
        <v>15</v>
      </c>
      <c r="B1370" s="44" t="s">
        <v>182</v>
      </c>
      <c r="C1370" s="44" t="s">
        <v>158</v>
      </c>
      <c r="D1370" s="45" t="str">
        <f aca="true">OFFSET(plates!$B$146,CODE(LEFT(B1370,1))-64,-1)&amp;"-"&amp;OFFSET(plates!$B$106,-1,MID(B1370,2,3)+0)</f>
        <v>bc411-bc418</v>
      </c>
      <c r="E1370" s="46" t="str">
        <f aca="true">OFFSET(plates!$B$146,CODE(LEFT(B1370,1))-64,MID(B1370,2,3)+0)&amp;""</f>
        <v/>
      </c>
      <c r="F1370" s="46"/>
      <c r="G1370" s="47"/>
      <c r="H1370" s="47"/>
    </row>
    <row r="1371" customFormat="false" ht="12.8" hidden="false" customHeight="false" outlineLevel="0" collapsed="false">
      <c r="A1371" s="44" t="n">
        <v>15</v>
      </c>
      <c r="B1371" s="44" t="s">
        <v>183</v>
      </c>
      <c r="C1371" s="44" t="s">
        <v>158</v>
      </c>
      <c r="D1371" s="45" t="str">
        <f aca="true">OFFSET(plates!$B$146,CODE(LEFT(B1371,1))-64,-1)&amp;"-"&amp;OFFSET(plates!$B$106,-1,MID(B1371,2,3)+0)</f>
        <v>bc418-bc418</v>
      </c>
      <c r="E1371" s="46" t="str">
        <f aca="true">OFFSET(plates!$B$146,CODE(LEFT(B1371,1))-64,MID(B1371,2,3)+0)&amp;""</f>
        <v/>
      </c>
      <c r="F1371" s="46"/>
      <c r="G1371" s="47"/>
      <c r="H1371" s="47"/>
    </row>
    <row r="1372" customFormat="false" ht="12.8" hidden="false" customHeight="false" outlineLevel="0" collapsed="false">
      <c r="A1372" s="44" t="n">
        <v>15</v>
      </c>
      <c r="B1372" s="44" t="s">
        <v>184</v>
      </c>
      <c r="C1372" s="44" t="s">
        <v>158</v>
      </c>
      <c r="D1372" s="45" t="str">
        <f aca="true">OFFSET(plates!$B$146,CODE(LEFT(B1372,1))-64,-1)&amp;"-"&amp;OFFSET(plates!$B$106,-1,MID(B1372,2,3)+0)</f>
        <v>bc449-bc418</v>
      </c>
      <c r="E1372" s="46" t="str">
        <f aca="true">OFFSET(plates!$B$146,CODE(LEFT(B1372,1))-64,MID(B1372,2,3)+0)&amp;""</f>
        <v/>
      </c>
      <c r="F1372" s="46"/>
      <c r="G1372" s="47"/>
      <c r="H1372" s="47"/>
    </row>
    <row r="1373" customFormat="false" ht="12.8" hidden="false" customHeight="false" outlineLevel="0" collapsed="false">
      <c r="A1373" s="44" t="n">
        <v>15</v>
      </c>
      <c r="B1373" s="44" t="s">
        <v>185</v>
      </c>
      <c r="C1373" s="44" t="s">
        <v>158</v>
      </c>
      <c r="D1373" s="45" t="str">
        <f aca="true">OFFSET(plates!$B$146,CODE(LEFT(B1373,1))-64,-1)&amp;"-"&amp;OFFSET(plates!$B$106,-1,MID(B1373,2,3)+0)</f>
        <v>bc462-bc418</v>
      </c>
      <c r="E1373" s="46" t="str">
        <f aca="true">OFFSET(plates!$B$146,CODE(LEFT(B1373,1))-64,MID(B1373,2,3)+0)&amp;""</f>
        <v/>
      </c>
      <c r="F1373" s="46"/>
      <c r="G1373" s="47"/>
      <c r="H1373" s="47"/>
    </row>
    <row r="1374" customFormat="false" ht="12.8" hidden="false" customHeight="false" outlineLevel="0" collapsed="false">
      <c r="A1374" s="44" t="n">
        <v>15</v>
      </c>
      <c r="B1374" s="44" t="s">
        <v>186</v>
      </c>
      <c r="C1374" s="44" t="s">
        <v>158</v>
      </c>
      <c r="D1374" s="45" t="str">
        <f aca="true">OFFSET(plates!$B$146,CODE(LEFT(B1374,1))-64,-1)&amp;"-"&amp;OFFSET(plates!$B$106,-1,MID(B1374,2,3)+0)</f>
        <v>bc485-bc418</v>
      </c>
      <c r="E1374" s="46" t="str">
        <f aca="true">OFFSET(plates!$B$146,CODE(LEFT(B1374,1))-64,MID(B1374,2,3)+0)&amp;""</f>
        <v/>
      </c>
      <c r="F1374" s="46"/>
      <c r="G1374" s="47"/>
      <c r="H1374" s="47"/>
    </row>
    <row r="1375" customFormat="false" ht="12.8" hidden="false" customHeight="false" outlineLevel="0" collapsed="false">
      <c r="A1375" s="44" t="n">
        <v>15</v>
      </c>
      <c r="B1375" s="44" t="s">
        <v>187</v>
      </c>
      <c r="C1375" s="44" t="s">
        <v>158</v>
      </c>
      <c r="D1375" s="45" t="str">
        <f aca="true">OFFSET(plates!$B$146,CODE(LEFT(B1375,1))-64,-1)&amp;"-"&amp;OFFSET(plates!$B$106,-1,MID(B1375,2,3)+0)</f>
        <v>bc486-bc418</v>
      </c>
      <c r="E1375" s="46" t="str">
        <f aca="true">OFFSET(plates!$B$146,CODE(LEFT(B1375,1))-64,MID(B1375,2,3)+0)&amp;""</f>
        <v/>
      </c>
      <c r="F1375" s="46"/>
      <c r="G1375" s="47"/>
      <c r="H1375" s="47"/>
    </row>
    <row r="1376" customFormat="false" ht="12.8" hidden="false" customHeight="false" outlineLevel="0" collapsed="false">
      <c r="A1376" s="44" t="n">
        <v>15</v>
      </c>
      <c r="B1376" s="44" t="s">
        <v>188</v>
      </c>
      <c r="C1376" s="44" t="s">
        <v>158</v>
      </c>
      <c r="D1376" s="45" t="str">
        <f aca="true">OFFSET(plates!$B$146,CODE(LEFT(B1376,1))-64,-1)&amp;"-"&amp;OFFSET(plates!$B$106,-1,MID(B1376,2,3)+0)</f>
        <v>bc494-bc418</v>
      </c>
      <c r="E1376" s="46" t="str">
        <f aca="true">OFFSET(plates!$B$146,CODE(LEFT(B1376,1))-64,MID(B1376,2,3)+0)&amp;""</f>
        <v/>
      </c>
      <c r="F1376" s="46"/>
      <c r="G1376" s="47"/>
      <c r="H1376" s="47"/>
    </row>
    <row r="1377" customFormat="false" ht="12.8" hidden="false" customHeight="false" outlineLevel="0" collapsed="false">
      <c r="A1377" s="44" t="n">
        <v>15</v>
      </c>
      <c r="B1377" s="44" t="s">
        <v>189</v>
      </c>
      <c r="C1377" s="44" t="s">
        <v>158</v>
      </c>
      <c r="D1377" s="45" t="str">
        <f aca="true">OFFSET(plates!$B$146,CODE(LEFT(B1377,1))-64,-1)&amp;"-"&amp;OFFSET(plates!$B$106,-1,MID(B1377,2,3)+0)</f>
        <v>bc538-bc418</v>
      </c>
      <c r="E1377" s="46" t="str">
        <f aca="true">OFFSET(plates!$B$146,CODE(LEFT(B1377,1))-64,MID(B1377,2,3)+0)&amp;""</f>
        <v/>
      </c>
      <c r="F1377" s="46"/>
      <c r="G1377" s="47"/>
      <c r="H1377" s="47"/>
    </row>
    <row r="1378" customFormat="false" ht="12.8" hidden="false" customHeight="false" outlineLevel="0" collapsed="false">
      <c r="A1378" s="44" t="n">
        <v>15</v>
      </c>
      <c r="B1378" s="44" t="s">
        <v>190</v>
      </c>
      <c r="C1378" s="44" t="s">
        <v>158</v>
      </c>
      <c r="D1378" s="45" t="str">
        <f aca="true">OFFSET(plates!$B$146,CODE(LEFT(B1378,1))-64,-1)&amp;"-"&amp;OFFSET(plates!$B$106,-1,MID(B1378,2,3)+0)</f>
        <v>bc411-bc436</v>
      </c>
      <c r="E1378" s="46" t="str">
        <f aca="true">OFFSET(plates!$B$146,CODE(LEFT(B1378,1))-64,MID(B1378,2,3)+0)&amp;""</f>
        <v/>
      </c>
      <c r="F1378" s="46"/>
      <c r="G1378" s="47"/>
      <c r="H1378" s="47"/>
    </row>
    <row r="1379" customFormat="false" ht="12.8" hidden="false" customHeight="false" outlineLevel="0" collapsed="false">
      <c r="A1379" s="44" t="n">
        <v>15</v>
      </c>
      <c r="B1379" s="44" t="s">
        <v>191</v>
      </c>
      <c r="C1379" s="44" t="s">
        <v>158</v>
      </c>
      <c r="D1379" s="45" t="str">
        <f aca="true">OFFSET(plates!$B$146,CODE(LEFT(B1379,1))-64,-1)&amp;"-"&amp;OFFSET(plates!$B$106,-1,MID(B1379,2,3)+0)</f>
        <v>bc418-bc436</v>
      </c>
      <c r="E1379" s="46" t="str">
        <f aca="true">OFFSET(plates!$B$146,CODE(LEFT(B1379,1))-64,MID(B1379,2,3)+0)&amp;""</f>
        <v/>
      </c>
      <c r="F1379" s="46"/>
      <c r="G1379" s="47"/>
      <c r="H1379" s="47"/>
    </row>
    <row r="1380" customFormat="false" ht="12.8" hidden="false" customHeight="false" outlineLevel="0" collapsed="false">
      <c r="A1380" s="44" t="n">
        <v>15</v>
      </c>
      <c r="B1380" s="44" t="s">
        <v>192</v>
      </c>
      <c r="C1380" s="44" t="s">
        <v>158</v>
      </c>
      <c r="D1380" s="45" t="str">
        <f aca="true">OFFSET(plates!$B$146,CODE(LEFT(B1380,1))-64,-1)&amp;"-"&amp;OFFSET(plates!$B$106,-1,MID(B1380,2,3)+0)</f>
        <v>bc449-bc436</v>
      </c>
      <c r="E1380" s="46" t="str">
        <f aca="true">OFFSET(plates!$B$146,CODE(LEFT(B1380,1))-64,MID(B1380,2,3)+0)&amp;""</f>
        <v/>
      </c>
      <c r="F1380" s="46"/>
      <c r="G1380" s="47"/>
      <c r="H1380" s="47"/>
    </row>
    <row r="1381" customFormat="false" ht="12.8" hidden="false" customHeight="false" outlineLevel="0" collapsed="false">
      <c r="A1381" s="44" t="n">
        <v>15</v>
      </c>
      <c r="B1381" s="44" t="s">
        <v>193</v>
      </c>
      <c r="C1381" s="44" t="s">
        <v>158</v>
      </c>
      <c r="D1381" s="45" t="str">
        <f aca="true">OFFSET(plates!$B$146,CODE(LEFT(B1381,1))-64,-1)&amp;"-"&amp;OFFSET(plates!$B$106,-1,MID(B1381,2,3)+0)</f>
        <v>bc462-bc436</v>
      </c>
      <c r="E1381" s="46" t="str">
        <f aca="true">OFFSET(plates!$B$146,CODE(LEFT(B1381,1))-64,MID(B1381,2,3)+0)&amp;""</f>
        <v/>
      </c>
      <c r="F1381" s="46"/>
      <c r="G1381" s="47"/>
      <c r="H1381" s="47"/>
    </row>
    <row r="1382" customFormat="false" ht="12.8" hidden="false" customHeight="false" outlineLevel="0" collapsed="false">
      <c r="A1382" s="44" t="n">
        <v>15</v>
      </c>
      <c r="B1382" s="44" t="s">
        <v>194</v>
      </c>
      <c r="C1382" s="44" t="s">
        <v>158</v>
      </c>
      <c r="D1382" s="45" t="str">
        <f aca="true">OFFSET(plates!$B$146,CODE(LEFT(B1382,1))-64,-1)&amp;"-"&amp;OFFSET(plates!$B$106,-1,MID(B1382,2,3)+0)</f>
        <v>bc485-bc436</v>
      </c>
      <c r="E1382" s="46" t="str">
        <f aca="true">OFFSET(plates!$B$146,CODE(LEFT(B1382,1))-64,MID(B1382,2,3)+0)&amp;""</f>
        <v/>
      </c>
      <c r="F1382" s="46"/>
      <c r="G1382" s="47"/>
      <c r="H1382" s="47"/>
    </row>
    <row r="1383" customFormat="false" ht="12.8" hidden="false" customHeight="false" outlineLevel="0" collapsed="false">
      <c r="A1383" s="44" t="n">
        <v>15</v>
      </c>
      <c r="B1383" s="44" t="s">
        <v>195</v>
      </c>
      <c r="C1383" s="44" t="s">
        <v>158</v>
      </c>
      <c r="D1383" s="45" t="str">
        <f aca="true">OFFSET(plates!$B$146,CODE(LEFT(B1383,1))-64,-1)&amp;"-"&amp;OFFSET(plates!$B$106,-1,MID(B1383,2,3)+0)</f>
        <v>bc486-bc436</v>
      </c>
      <c r="E1383" s="46" t="str">
        <f aca="true">OFFSET(plates!$B$146,CODE(LEFT(B1383,1))-64,MID(B1383,2,3)+0)&amp;""</f>
        <v/>
      </c>
      <c r="F1383" s="46"/>
      <c r="G1383" s="47"/>
      <c r="H1383" s="47"/>
    </row>
    <row r="1384" customFormat="false" ht="12.8" hidden="false" customHeight="false" outlineLevel="0" collapsed="false">
      <c r="A1384" s="44" t="n">
        <v>15</v>
      </c>
      <c r="B1384" s="44" t="s">
        <v>196</v>
      </c>
      <c r="C1384" s="44" t="s">
        <v>158</v>
      </c>
      <c r="D1384" s="45" t="str">
        <f aca="true">OFFSET(plates!$B$146,CODE(LEFT(B1384,1))-64,-1)&amp;"-"&amp;OFFSET(plates!$B$106,-1,MID(B1384,2,3)+0)</f>
        <v>bc494-bc436</v>
      </c>
      <c r="E1384" s="46" t="str">
        <f aca="true">OFFSET(plates!$B$146,CODE(LEFT(B1384,1))-64,MID(B1384,2,3)+0)&amp;""</f>
        <v/>
      </c>
      <c r="F1384" s="46"/>
      <c r="G1384" s="47"/>
      <c r="H1384" s="47"/>
    </row>
    <row r="1385" customFormat="false" ht="12.8" hidden="false" customHeight="false" outlineLevel="0" collapsed="false">
      <c r="A1385" s="44" t="n">
        <v>15</v>
      </c>
      <c r="B1385" s="44" t="s">
        <v>197</v>
      </c>
      <c r="C1385" s="44" t="s">
        <v>158</v>
      </c>
      <c r="D1385" s="45" t="str">
        <f aca="true">OFFSET(plates!$B$146,CODE(LEFT(B1385,1))-64,-1)&amp;"-"&amp;OFFSET(plates!$B$106,-1,MID(B1385,2,3)+0)</f>
        <v>bc538-bc436</v>
      </c>
      <c r="E1385" s="46" t="str">
        <f aca="true">OFFSET(plates!$B$146,CODE(LEFT(B1385,1))-64,MID(B1385,2,3)+0)&amp;""</f>
        <v/>
      </c>
      <c r="F1385" s="46"/>
      <c r="G1385" s="47"/>
      <c r="H1385" s="47"/>
    </row>
    <row r="1386" customFormat="false" ht="12.8" hidden="false" customHeight="false" outlineLevel="0" collapsed="false">
      <c r="A1386" s="44" t="n">
        <v>15</v>
      </c>
      <c r="B1386" s="44" t="s">
        <v>198</v>
      </c>
      <c r="C1386" s="44" t="s">
        <v>158</v>
      </c>
      <c r="D1386" s="45" t="str">
        <f aca="true">OFFSET(plates!$B$146,CODE(LEFT(B1386,1))-64,-1)&amp;"-"&amp;OFFSET(plates!$B$106,-1,MID(B1386,2,3)+0)</f>
        <v>bc411-bc471</v>
      </c>
      <c r="E1386" s="46" t="str">
        <f aca="true">OFFSET(plates!$B$146,CODE(LEFT(B1386,1))-64,MID(B1386,2,3)+0)&amp;""</f>
        <v/>
      </c>
      <c r="F1386" s="46"/>
      <c r="G1386" s="47"/>
      <c r="H1386" s="47"/>
    </row>
    <row r="1387" customFormat="false" ht="12.8" hidden="false" customHeight="false" outlineLevel="0" collapsed="false">
      <c r="A1387" s="44" t="n">
        <v>15</v>
      </c>
      <c r="B1387" s="44" t="s">
        <v>199</v>
      </c>
      <c r="C1387" s="44" t="s">
        <v>158</v>
      </c>
      <c r="D1387" s="45" t="str">
        <f aca="true">OFFSET(plates!$B$146,CODE(LEFT(B1387,1))-64,-1)&amp;"-"&amp;OFFSET(plates!$B$106,-1,MID(B1387,2,3)+0)</f>
        <v>bc418-bc471</v>
      </c>
      <c r="E1387" s="46" t="str">
        <f aca="true">OFFSET(plates!$B$146,CODE(LEFT(B1387,1))-64,MID(B1387,2,3)+0)&amp;""</f>
        <v/>
      </c>
      <c r="F1387" s="46"/>
      <c r="G1387" s="47"/>
      <c r="H1387" s="47"/>
    </row>
    <row r="1388" customFormat="false" ht="12.8" hidden="false" customHeight="false" outlineLevel="0" collapsed="false">
      <c r="A1388" s="44" t="n">
        <v>15</v>
      </c>
      <c r="B1388" s="44" t="s">
        <v>200</v>
      </c>
      <c r="C1388" s="44" t="s">
        <v>158</v>
      </c>
      <c r="D1388" s="45" t="str">
        <f aca="true">OFFSET(plates!$B$146,CODE(LEFT(B1388,1))-64,-1)&amp;"-"&amp;OFFSET(plates!$B$106,-1,MID(B1388,2,3)+0)</f>
        <v>bc449-bc471</v>
      </c>
      <c r="E1388" s="46" t="str">
        <f aca="true">OFFSET(plates!$B$146,CODE(LEFT(B1388,1))-64,MID(B1388,2,3)+0)&amp;""</f>
        <v/>
      </c>
      <c r="F1388" s="46"/>
      <c r="G1388" s="47"/>
      <c r="H1388" s="47"/>
    </row>
    <row r="1389" customFormat="false" ht="12.8" hidden="false" customHeight="false" outlineLevel="0" collapsed="false">
      <c r="A1389" s="44" t="n">
        <v>15</v>
      </c>
      <c r="B1389" s="44" t="s">
        <v>201</v>
      </c>
      <c r="C1389" s="44" t="s">
        <v>158</v>
      </c>
      <c r="D1389" s="45" t="str">
        <f aca="true">OFFSET(plates!$B$146,CODE(LEFT(B1389,1))-64,-1)&amp;"-"&amp;OFFSET(plates!$B$106,-1,MID(B1389,2,3)+0)</f>
        <v>bc462-bc471</v>
      </c>
      <c r="E1389" s="46" t="str">
        <f aca="true">OFFSET(plates!$B$146,CODE(LEFT(B1389,1))-64,MID(B1389,2,3)+0)&amp;""</f>
        <v/>
      </c>
      <c r="F1389" s="46"/>
      <c r="G1389" s="47"/>
      <c r="H1389" s="47"/>
    </row>
    <row r="1390" customFormat="false" ht="12.8" hidden="false" customHeight="false" outlineLevel="0" collapsed="false">
      <c r="A1390" s="44" t="n">
        <v>15</v>
      </c>
      <c r="B1390" s="44" t="s">
        <v>202</v>
      </c>
      <c r="C1390" s="44" t="s">
        <v>158</v>
      </c>
      <c r="D1390" s="45" t="str">
        <f aca="true">OFFSET(plates!$B$146,CODE(LEFT(B1390,1))-64,-1)&amp;"-"&amp;OFFSET(plates!$B$106,-1,MID(B1390,2,3)+0)</f>
        <v>bc485-bc471</v>
      </c>
      <c r="E1390" s="46" t="str">
        <f aca="true">OFFSET(plates!$B$146,CODE(LEFT(B1390,1))-64,MID(B1390,2,3)+0)&amp;""</f>
        <v/>
      </c>
      <c r="F1390" s="46"/>
      <c r="G1390" s="47"/>
      <c r="H1390" s="47"/>
    </row>
    <row r="1391" customFormat="false" ht="12.8" hidden="false" customHeight="false" outlineLevel="0" collapsed="false">
      <c r="A1391" s="44" t="n">
        <v>15</v>
      </c>
      <c r="B1391" s="44" t="s">
        <v>203</v>
      </c>
      <c r="C1391" s="44" t="s">
        <v>158</v>
      </c>
      <c r="D1391" s="45" t="str">
        <f aca="true">OFFSET(plates!$B$146,CODE(LEFT(B1391,1))-64,-1)&amp;"-"&amp;OFFSET(plates!$B$106,-1,MID(B1391,2,3)+0)</f>
        <v>bc486-bc471</v>
      </c>
      <c r="E1391" s="46" t="str">
        <f aca="true">OFFSET(plates!$B$146,CODE(LEFT(B1391,1))-64,MID(B1391,2,3)+0)&amp;""</f>
        <v/>
      </c>
      <c r="F1391" s="46"/>
      <c r="G1391" s="47"/>
      <c r="H1391" s="47"/>
    </row>
    <row r="1392" customFormat="false" ht="12.8" hidden="false" customHeight="false" outlineLevel="0" collapsed="false">
      <c r="A1392" s="44" t="n">
        <v>15</v>
      </c>
      <c r="B1392" s="44" t="s">
        <v>204</v>
      </c>
      <c r="C1392" s="44" t="s">
        <v>158</v>
      </c>
      <c r="D1392" s="45" t="str">
        <f aca="true">OFFSET(plates!$B$146,CODE(LEFT(B1392,1))-64,-1)&amp;"-"&amp;OFFSET(plates!$B$106,-1,MID(B1392,2,3)+0)</f>
        <v>bc494-bc471</v>
      </c>
      <c r="E1392" s="46" t="str">
        <f aca="true">OFFSET(plates!$B$146,CODE(LEFT(B1392,1))-64,MID(B1392,2,3)+0)&amp;""</f>
        <v/>
      </c>
      <c r="F1392" s="46"/>
      <c r="G1392" s="47"/>
      <c r="H1392" s="47"/>
    </row>
    <row r="1393" customFormat="false" ht="12.8" hidden="false" customHeight="false" outlineLevel="0" collapsed="false">
      <c r="A1393" s="44" t="n">
        <v>15</v>
      </c>
      <c r="B1393" s="44" t="s">
        <v>205</v>
      </c>
      <c r="C1393" s="44" t="s">
        <v>158</v>
      </c>
      <c r="D1393" s="45" t="str">
        <f aca="true">OFFSET(plates!$B$146,CODE(LEFT(B1393,1))-64,-1)&amp;"-"&amp;OFFSET(plates!$B$106,-1,MID(B1393,2,3)+0)</f>
        <v>bc538-bc471</v>
      </c>
      <c r="E1393" s="46" t="str">
        <f aca="true">OFFSET(plates!$B$146,CODE(LEFT(B1393,1))-64,MID(B1393,2,3)+0)&amp;""</f>
        <v/>
      </c>
      <c r="F1393" s="46"/>
      <c r="G1393" s="47"/>
      <c r="H1393" s="47"/>
    </row>
    <row r="1394" customFormat="false" ht="12.8" hidden="false" customHeight="false" outlineLevel="0" collapsed="false">
      <c r="A1394" s="44" t="n">
        <v>15</v>
      </c>
      <c r="B1394" s="44" t="s">
        <v>206</v>
      </c>
      <c r="C1394" s="44" t="s">
        <v>158</v>
      </c>
      <c r="D1394" s="45" t="str">
        <f aca="true">OFFSET(plates!$B$146,CODE(LEFT(B1394,1))-64,-1)&amp;"-"&amp;OFFSET(plates!$B$106,-1,MID(B1394,2,3)+0)</f>
        <v>bc411-bc488</v>
      </c>
      <c r="E1394" s="46" t="str">
        <f aca="true">OFFSET(plates!$B$146,CODE(LEFT(B1394,1))-64,MID(B1394,2,3)+0)&amp;""</f>
        <v/>
      </c>
      <c r="F1394" s="46"/>
      <c r="G1394" s="47"/>
      <c r="H1394" s="47"/>
    </row>
    <row r="1395" customFormat="false" ht="12.8" hidden="false" customHeight="false" outlineLevel="0" collapsed="false">
      <c r="A1395" s="44" t="n">
        <v>15</v>
      </c>
      <c r="B1395" s="44" t="s">
        <v>207</v>
      </c>
      <c r="C1395" s="44" t="s">
        <v>158</v>
      </c>
      <c r="D1395" s="45" t="str">
        <f aca="true">OFFSET(plates!$B$146,CODE(LEFT(B1395,1))-64,-1)&amp;"-"&amp;OFFSET(plates!$B$106,-1,MID(B1395,2,3)+0)</f>
        <v>bc418-bc488</v>
      </c>
      <c r="E1395" s="46" t="str">
        <f aca="true">OFFSET(plates!$B$146,CODE(LEFT(B1395,1))-64,MID(B1395,2,3)+0)&amp;""</f>
        <v/>
      </c>
      <c r="F1395" s="46"/>
      <c r="G1395" s="47"/>
      <c r="H1395" s="47"/>
    </row>
    <row r="1396" customFormat="false" ht="12.8" hidden="false" customHeight="false" outlineLevel="0" collapsed="false">
      <c r="A1396" s="44" t="n">
        <v>15</v>
      </c>
      <c r="B1396" s="44" t="s">
        <v>208</v>
      </c>
      <c r="C1396" s="44" t="s">
        <v>158</v>
      </c>
      <c r="D1396" s="45" t="str">
        <f aca="true">OFFSET(plates!$B$146,CODE(LEFT(B1396,1))-64,-1)&amp;"-"&amp;OFFSET(plates!$B$106,-1,MID(B1396,2,3)+0)</f>
        <v>bc449-bc488</v>
      </c>
      <c r="E1396" s="46" t="str">
        <f aca="true">OFFSET(plates!$B$146,CODE(LEFT(B1396,1))-64,MID(B1396,2,3)+0)&amp;""</f>
        <v/>
      </c>
      <c r="F1396" s="46"/>
      <c r="G1396" s="47"/>
      <c r="H1396" s="47"/>
    </row>
    <row r="1397" customFormat="false" ht="12.8" hidden="false" customHeight="false" outlineLevel="0" collapsed="false">
      <c r="A1397" s="44" t="n">
        <v>15</v>
      </c>
      <c r="B1397" s="44" t="s">
        <v>209</v>
      </c>
      <c r="C1397" s="44" t="s">
        <v>158</v>
      </c>
      <c r="D1397" s="45" t="str">
        <f aca="true">OFFSET(plates!$B$146,CODE(LEFT(B1397,1))-64,-1)&amp;"-"&amp;OFFSET(plates!$B$106,-1,MID(B1397,2,3)+0)</f>
        <v>bc462-bc488</v>
      </c>
      <c r="E1397" s="46" t="str">
        <f aca="true">OFFSET(plates!$B$146,CODE(LEFT(B1397,1))-64,MID(B1397,2,3)+0)&amp;""</f>
        <v/>
      </c>
      <c r="F1397" s="46"/>
      <c r="G1397" s="47"/>
      <c r="H1397" s="47"/>
    </row>
    <row r="1398" customFormat="false" ht="12.8" hidden="false" customHeight="false" outlineLevel="0" collapsed="false">
      <c r="A1398" s="44" t="n">
        <v>15</v>
      </c>
      <c r="B1398" s="44" t="s">
        <v>210</v>
      </c>
      <c r="C1398" s="44" t="s">
        <v>158</v>
      </c>
      <c r="D1398" s="45" t="str">
        <f aca="true">OFFSET(plates!$B$146,CODE(LEFT(B1398,1))-64,-1)&amp;"-"&amp;OFFSET(plates!$B$106,-1,MID(B1398,2,3)+0)</f>
        <v>bc485-bc488</v>
      </c>
      <c r="E1398" s="46" t="str">
        <f aca="true">OFFSET(plates!$B$146,CODE(LEFT(B1398,1))-64,MID(B1398,2,3)+0)&amp;""</f>
        <v/>
      </c>
      <c r="F1398" s="46"/>
      <c r="G1398" s="47"/>
      <c r="H1398" s="47"/>
    </row>
    <row r="1399" customFormat="false" ht="12.8" hidden="false" customHeight="false" outlineLevel="0" collapsed="false">
      <c r="A1399" s="44" t="n">
        <v>15</v>
      </c>
      <c r="B1399" s="44" t="s">
        <v>211</v>
      </c>
      <c r="C1399" s="44" t="s">
        <v>158</v>
      </c>
      <c r="D1399" s="45" t="str">
        <f aca="true">OFFSET(plates!$B$146,CODE(LEFT(B1399,1))-64,-1)&amp;"-"&amp;OFFSET(plates!$B$106,-1,MID(B1399,2,3)+0)</f>
        <v>bc486-bc488</v>
      </c>
      <c r="E1399" s="46" t="str">
        <f aca="true">OFFSET(plates!$B$146,CODE(LEFT(B1399,1))-64,MID(B1399,2,3)+0)&amp;""</f>
        <v/>
      </c>
      <c r="F1399" s="46"/>
      <c r="G1399" s="47"/>
      <c r="H1399" s="47"/>
    </row>
    <row r="1400" customFormat="false" ht="12.8" hidden="false" customHeight="false" outlineLevel="0" collapsed="false">
      <c r="A1400" s="44" t="n">
        <v>15</v>
      </c>
      <c r="B1400" s="44" t="s">
        <v>212</v>
      </c>
      <c r="C1400" s="44" t="s">
        <v>158</v>
      </c>
      <c r="D1400" s="45" t="str">
        <f aca="true">OFFSET(plates!$B$146,CODE(LEFT(B1400,1))-64,-1)&amp;"-"&amp;OFFSET(plates!$B$106,-1,MID(B1400,2,3)+0)</f>
        <v>bc494-bc488</v>
      </c>
      <c r="E1400" s="46" t="str">
        <f aca="true">OFFSET(plates!$B$146,CODE(LEFT(B1400,1))-64,MID(B1400,2,3)+0)&amp;""</f>
        <v/>
      </c>
      <c r="F1400" s="46"/>
      <c r="G1400" s="47"/>
      <c r="H1400" s="47"/>
    </row>
    <row r="1401" customFormat="false" ht="12.8" hidden="false" customHeight="false" outlineLevel="0" collapsed="false">
      <c r="A1401" s="44" t="n">
        <v>15</v>
      </c>
      <c r="B1401" s="44" t="s">
        <v>213</v>
      </c>
      <c r="C1401" s="44" t="s">
        <v>158</v>
      </c>
      <c r="D1401" s="45" t="str">
        <f aca="true">OFFSET(plates!$B$146,CODE(LEFT(B1401,1))-64,-1)&amp;"-"&amp;OFFSET(plates!$B$106,-1,MID(B1401,2,3)+0)</f>
        <v>bc538-bc488</v>
      </c>
      <c r="E1401" s="46" t="str">
        <f aca="true">OFFSET(plates!$B$146,CODE(LEFT(B1401,1))-64,MID(B1401,2,3)+0)&amp;""</f>
        <v/>
      </c>
      <c r="F1401" s="46"/>
      <c r="G1401" s="47"/>
      <c r="H1401" s="47"/>
    </row>
    <row r="1402" customFormat="false" ht="12.8" hidden="false" customHeight="false" outlineLevel="0" collapsed="false">
      <c r="A1402" s="44" t="n">
        <v>15</v>
      </c>
      <c r="B1402" s="44" t="s">
        <v>214</v>
      </c>
      <c r="C1402" s="44" t="s">
        <v>158</v>
      </c>
      <c r="D1402" s="45" t="str">
        <f aca="true">OFFSET(plates!$B$146,CODE(LEFT(B1402,1))-64,-1)&amp;"-"&amp;OFFSET(plates!$B$106,-1,MID(B1402,2,3)+0)</f>
        <v>bc411-bc497</v>
      </c>
      <c r="E1402" s="46" t="str">
        <f aca="true">OFFSET(plates!$B$146,CODE(LEFT(B1402,1))-64,MID(B1402,2,3)+0)&amp;""</f>
        <v/>
      </c>
      <c r="F1402" s="46"/>
      <c r="G1402" s="47"/>
      <c r="H1402" s="47"/>
    </row>
    <row r="1403" customFormat="false" ht="12.8" hidden="false" customHeight="false" outlineLevel="0" collapsed="false">
      <c r="A1403" s="44" t="n">
        <v>15</v>
      </c>
      <c r="B1403" s="44" t="s">
        <v>215</v>
      </c>
      <c r="C1403" s="44" t="s">
        <v>158</v>
      </c>
      <c r="D1403" s="45" t="str">
        <f aca="true">OFFSET(plates!$B$146,CODE(LEFT(B1403,1))-64,-1)&amp;"-"&amp;OFFSET(plates!$B$106,-1,MID(B1403,2,3)+0)</f>
        <v>bc418-bc497</v>
      </c>
      <c r="E1403" s="46" t="str">
        <f aca="true">OFFSET(plates!$B$146,CODE(LEFT(B1403,1))-64,MID(B1403,2,3)+0)&amp;""</f>
        <v/>
      </c>
      <c r="F1403" s="46"/>
      <c r="G1403" s="47"/>
      <c r="H1403" s="47"/>
    </row>
    <row r="1404" customFormat="false" ht="12.8" hidden="false" customHeight="false" outlineLevel="0" collapsed="false">
      <c r="A1404" s="44" t="n">
        <v>15</v>
      </c>
      <c r="B1404" s="44" t="s">
        <v>216</v>
      </c>
      <c r="C1404" s="44" t="s">
        <v>158</v>
      </c>
      <c r="D1404" s="45" t="str">
        <f aca="true">OFFSET(plates!$B$146,CODE(LEFT(B1404,1))-64,-1)&amp;"-"&amp;OFFSET(plates!$B$106,-1,MID(B1404,2,3)+0)</f>
        <v>bc449-bc497</v>
      </c>
      <c r="E1404" s="46" t="str">
        <f aca="true">OFFSET(plates!$B$146,CODE(LEFT(B1404,1))-64,MID(B1404,2,3)+0)&amp;""</f>
        <v/>
      </c>
      <c r="F1404" s="46"/>
      <c r="G1404" s="47"/>
      <c r="H1404" s="47"/>
    </row>
    <row r="1405" customFormat="false" ht="12.8" hidden="false" customHeight="false" outlineLevel="0" collapsed="false">
      <c r="A1405" s="44" t="n">
        <v>15</v>
      </c>
      <c r="B1405" s="44" t="s">
        <v>217</v>
      </c>
      <c r="C1405" s="44" t="s">
        <v>158</v>
      </c>
      <c r="D1405" s="45" t="str">
        <f aca="true">OFFSET(plates!$B$146,CODE(LEFT(B1405,1))-64,-1)&amp;"-"&amp;OFFSET(plates!$B$106,-1,MID(B1405,2,3)+0)</f>
        <v>bc462-bc497</v>
      </c>
      <c r="E1405" s="46" t="str">
        <f aca="true">OFFSET(plates!$B$146,CODE(LEFT(B1405,1))-64,MID(B1405,2,3)+0)&amp;""</f>
        <v/>
      </c>
      <c r="F1405" s="46"/>
      <c r="G1405" s="47"/>
      <c r="H1405" s="47"/>
    </row>
    <row r="1406" customFormat="false" ht="12.8" hidden="false" customHeight="false" outlineLevel="0" collapsed="false">
      <c r="A1406" s="44" t="n">
        <v>15</v>
      </c>
      <c r="B1406" s="44" t="s">
        <v>218</v>
      </c>
      <c r="C1406" s="44" t="s">
        <v>158</v>
      </c>
      <c r="D1406" s="45" t="str">
        <f aca="true">OFFSET(plates!$B$146,CODE(LEFT(B1406,1))-64,-1)&amp;"-"&amp;OFFSET(plates!$B$106,-1,MID(B1406,2,3)+0)</f>
        <v>bc485-bc497</v>
      </c>
      <c r="E1406" s="46" t="str">
        <f aca="true">OFFSET(plates!$B$146,CODE(LEFT(B1406,1))-64,MID(B1406,2,3)+0)&amp;""</f>
        <v/>
      </c>
      <c r="F1406" s="46"/>
      <c r="G1406" s="47"/>
      <c r="H1406" s="47"/>
    </row>
    <row r="1407" customFormat="false" ht="12.8" hidden="false" customHeight="false" outlineLevel="0" collapsed="false">
      <c r="A1407" s="44" t="n">
        <v>15</v>
      </c>
      <c r="B1407" s="44" t="s">
        <v>219</v>
      </c>
      <c r="C1407" s="44" t="s">
        <v>158</v>
      </c>
      <c r="D1407" s="45" t="str">
        <f aca="true">OFFSET(plates!$B$146,CODE(LEFT(B1407,1))-64,-1)&amp;"-"&amp;OFFSET(plates!$B$106,-1,MID(B1407,2,3)+0)</f>
        <v>bc486-bc497</v>
      </c>
      <c r="E1407" s="46" t="str">
        <f aca="true">OFFSET(plates!$B$146,CODE(LEFT(B1407,1))-64,MID(B1407,2,3)+0)&amp;""</f>
        <v/>
      </c>
      <c r="F1407" s="46"/>
      <c r="G1407" s="47"/>
      <c r="H1407" s="47"/>
    </row>
    <row r="1408" customFormat="false" ht="12.8" hidden="false" customHeight="false" outlineLevel="0" collapsed="false">
      <c r="A1408" s="44" t="n">
        <v>15</v>
      </c>
      <c r="B1408" s="44" t="s">
        <v>220</v>
      </c>
      <c r="C1408" s="44" t="s">
        <v>158</v>
      </c>
      <c r="D1408" s="45" t="str">
        <f aca="true">OFFSET(plates!$B$146,CODE(LEFT(B1408,1))-64,-1)&amp;"-"&amp;OFFSET(plates!$B$106,-1,MID(B1408,2,3)+0)</f>
        <v>bc494-bc497</v>
      </c>
      <c r="E1408" s="46" t="str">
        <f aca="true">OFFSET(plates!$B$146,CODE(LEFT(B1408,1))-64,MID(B1408,2,3)+0)&amp;""</f>
        <v/>
      </c>
      <c r="F1408" s="46"/>
      <c r="G1408" s="47"/>
      <c r="H1408" s="47"/>
    </row>
    <row r="1409" customFormat="false" ht="12.8" hidden="false" customHeight="false" outlineLevel="0" collapsed="false">
      <c r="A1409" s="44" t="n">
        <v>15</v>
      </c>
      <c r="B1409" s="44" t="s">
        <v>221</v>
      </c>
      <c r="C1409" s="44" t="s">
        <v>158</v>
      </c>
      <c r="D1409" s="45" t="str">
        <f aca="true">OFFSET(plates!$B$146,CODE(LEFT(B1409,1))-64,-1)&amp;"-"&amp;OFFSET(plates!$B$106,-1,MID(B1409,2,3)+0)</f>
        <v>bc538-bc497</v>
      </c>
      <c r="E1409" s="46" t="str">
        <f aca="true">OFFSET(plates!$B$146,CODE(LEFT(B1409,1))-64,MID(B1409,2,3)+0)&amp;""</f>
        <v/>
      </c>
      <c r="F1409" s="46"/>
      <c r="G1409" s="47"/>
      <c r="H1409" s="47"/>
    </row>
    <row r="1410" customFormat="false" ht="12.8" hidden="false" customHeight="false" outlineLevel="0" collapsed="false">
      <c r="A1410" s="44" t="n">
        <v>15</v>
      </c>
      <c r="B1410" s="44" t="s">
        <v>222</v>
      </c>
      <c r="C1410" s="44" t="s">
        <v>158</v>
      </c>
      <c r="D1410" s="45" t="str">
        <f aca="true">OFFSET(plates!$B$146,CODE(LEFT(B1410,1))-64,-1)&amp;"-"&amp;OFFSET(plates!$B$106,-1,MID(B1410,2,3)+0)</f>
        <v>bc411-bc500</v>
      </c>
      <c r="E1410" s="46" t="str">
        <f aca="true">OFFSET(plates!$B$146,CODE(LEFT(B1410,1))-64,MID(B1410,2,3)+0)&amp;""</f>
        <v/>
      </c>
      <c r="F1410" s="46"/>
      <c r="G1410" s="47"/>
      <c r="H1410" s="47"/>
    </row>
    <row r="1411" customFormat="false" ht="12.8" hidden="false" customHeight="false" outlineLevel="0" collapsed="false">
      <c r="A1411" s="44" t="n">
        <v>15</v>
      </c>
      <c r="B1411" s="44" t="s">
        <v>223</v>
      </c>
      <c r="C1411" s="44" t="s">
        <v>158</v>
      </c>
      <c r="D1411" s="45" t="str">
        <f aca="true">OFFSET(plates!$B$146,CODE(LEFT(B1411,1))-64,-1)&amp;"-"&amp;OFFSET(plates!$B$106,-1,MID(B1411,2,3)+0)</f>
        <v>bc418-bc500</v>
      </c>
      <c r="E1411" s="46" t="str">
        <f aca="true">OFFSET(plates!$B$146,CODE(LEFT(B1411,1))-64,MID(B1411,2,3)+0)&amp;""</f>
        <v/>
      </c>
      <c r="F1411" s="46"/>
      <c r="G1411" s="47"/>
      <c r="H1411" s="47"/>
    </row>
    <row r="1412" customFormat="false" ht="12.8" hidden="false" customHeight="false" outlineLevel="0" collapsed="false">
      <c r="A1412" s="44" t="n">
        <v>15</v>
      </c>
      <c r="B1412" s="44" t="s">
        <v>224</v>
      </c>
      <c r="C1412" s="44" t="s">
        <v>158</v>
      </c>
      <c r="D1412" s="45" t="str">
        <f aca="true">OFFSET(plates!$B$146,CODE(LEFT(B1412,1))-64,-1)&amp;"-"&amp;OFFSET(plates!$B$106,-1,MID(B1412,2,3)+0)</f>
        <v>bc449-bc500</v>
      </c>
      <c r="E1412" s="46" t="str">
        <f aca="true">OFFSET(plates!$B$146,CODE(LEFT(B1412,1))-64,MID(B1412,2,3)+0)&amp;""</f>
        <v/>
      </c>
      <c r="F1412" s="46"/>
      <c r="G1412" s="47"/>
      <c r="H1412" s="47"/>
    </row>
    <row r="1413" customFormat="false" ht="12.8" hidden="false" customHeight="false" outlineLevel="0" collapsed="false">
      <c r="A1413" s="44" t="n">
        <v>15</v>
      </c>
      <c r="B1413" s="44" t="s">
        <v>225</v>
      </c>
      <c r="C1413" s="44" t="s">
        <v>158</v>
      </c>
      <c r="D1413" s="45" t="str">
        <f aca="true">OFFSET(plates!$B$146,CODE(LEFT(B1413,1))-64,-1)&amp;"-"&amp;OFFSET(plates!$B$106,-1,MID(B1413,2,3)+0)</f>
        <v>bc462-bc500</v>
      </c>
      <c r="E1413" s="46" t="str">
        <f aca="true">OFFSET(plates!$B$146,CODE(LEFT(B1413,1))-64,MID(B1413,2,3)+0)&amp;""</f>
        <v/>
      </c>
      <c r="F1413" s="46"/>
      <c r="G1413" s="47"/>
      <c r="H1413" s="47"/>
    </row>
    <row r="1414" customFormat="false" ht="12.8" hidden="false" customHeight="false" outlineLevel="0" collapsed="false">
      <c r="A1414" s="44" t="n">
        <v>15</v>
      </c>
      <c r="B1414" s="44" t="s">
        <v>226</v>
      </c>
      <c r="C1414" s="44" t="s">
        <v>158</v>
      </c>
      <c r="D1414" s="45" t="str">
        <f aca="true">OFFSET(plates!$B$146,CODE(LEFT(B1414,1))-64,-1)&amp;"-"&amp;OFFSET(plates!$B$106,-1,MID(B1414,2,3)+0)</f>
        <v>bc485-bc500</v>
      </c>
      <c r="E1414" s="46" t="str">
        <f aca="true">OFFSET(plates!$B$146,CODE(LEFT(B1414,1))-64,MID(B1414,2,3)+0)&amp;""</f>
        <v/>
      </c>
      <c r="F1414" s="46"/>
      <c r="G1414" s="47"/>
      <c r="H1414" s="47"/>
    </row>
    <row r="1415" customFormat="false" ht="12.8" hidden="false" customHeight="false" outlineLevel="0" collapsed="false">
      <c r="A1415" s="44" t="n">
        <v>15</v>
      </c>
      <c r="B1415" s="44" t="s">
        <v>227</v>
      </c>
      <c r="C1415" s="44" t="s">
        <v>158</v>
      </c>
      <c r="D1415" s="45" t="str">
        <f aca="true">OFFSET(plates!$B$146,CODE(LEFT(B1415,1))-64,-1)&amp;"-"&amp;OFFSET(plates!$B$106,-1,MID(B1415,2,3)+0)</f>
        <v>bc486-bc500</v>
      </c>
      <c r="E1415" s="46" t="str">
        <f aca="true">OFFSET(plates!$B$146,CODE(LEFT(B1415,1))-64,MID(B1415,2,3)+0)&amp;""</f>
        <v/>
      </c>
      <c r="F1415" s="46"/>
      <c r="G1415" s="47"/>
      <c r="H1415" s="47"/>
    </row>
    <row r="1416" customFormat="false" ht="12.8" hidden="false" customHeight="false" outlineLevel="0" collapsed="false">
      <c r="A1416" s="44" t="n">
        <v>15</v>
      </c>
      <c r="B1416" s="44" t="s">
        <v>228</v>
      </c>
      <c r="C1416" s="44" t="s">
        <v>158</v>
      </c>
      <c r="D1416" s="45" t="str">
        <f aca="true">OFFSET(plates!$B$146,CODE(LEFT(B1416,1))-64,-1)&amp;"-"&amp;OFFSET(plates!$B$106,-1,MID(B1416,2,3)+0)</f>
        <v>bc494-bc500</v>
      </c>
      <c r="E1416" s="46" t="str">
        <f aca="true">OFFSET(plates!$B$146,CODE(LEFT(B1416,1))-64,MID(B1416,2,3)+0)&amp;""</f>
        <v/>
      </c>
      <c r="F1416" s="46"/>
      <c r="G1416" s="47"/>
      <c r="H1416" s="47"/>
    </row>
    <row r="1417" customFormat="false" ht="12.8" hidden="false" customHeight="false" outlineLevel="0" collapsed="false">
      <c r="A1417" s="44" t="n">
        <v>15</v>
      </c>
      <c r="B1417" s="44" t="s">
        <v>229</v>
      </c>
      <c r="C1417" s="44" t="s">
        <v>158</v>
      </c>
      <c r="D1417" s="45" t="str">
        <f aca="true">OFFSET(plates!$B$146,CODE(LEFT(B1417,1))-64,-1)&amp;"-"&amp;OFFSET(plates!$B$106,-1,MID(B1417,2,3)+0)</f>
        <v>bc538-bc500</v>
      </c>
      <c r="E1417" s="46" t="str">
        <f aca="true">OFFSET(plates!$B$146,CODE(LEFT(B1417,1))-64,MID(B1417,2,3)+0)&amp;""</f>
        <v/>
      </c>
      <c r="F1417" s="46"/>
      <c r="G1417" s="47"/>
      <c r="H1417" s="47"/>
    </row>
    <row r="1418" customFormat="false" ht="12.8" hidden="false" customHeight="false" outlineLevel="0" collapsed="false">
      <c r="A1418" s="44" t="n">
        <v>15</v>
      </c>
      <c r="B1418" s="44" t="s">
        <v>230</v>
      </c>
      <c r="C1418" s="44" t="s">
        <v>158</v>
      </c>
      <c r="D1418" s="45" t="str">
        <f aca="true">OFFSET(plates!$B$146,CODE(LEFT(B1418,1))-64,-1)&amp;"-"&amp;OFFSET(plates!$B$106,-1,MID(B1418,2,3)+0)</f>
        <v>bc411-bc508</v>
      </c>
      <c r="E1418" s="46" t="str">
        <f aca="true">OFFSET(plates!$B$146,CODE(LEFT(B1418,1))-64,MID(B1418,2,3)+0)&amp;""</f>
        <v/>
      </c>
      <c r="F1418" s="46"/>
      <c r="G1418" s="47"/>
      <c r="H1418" s="47"/>
    </row>
    <row r="1419" customFormat="false" ht="12.8" hidden="false" customHeight="false" outlineLevel="0" collapsed="false">
      <c r="A1419" s="44" t="n">
        <v>15</v>
      </c>
      <c r="B1419" s="44" t="s">
        <v>231</v>
      </c>
      <c r="C1419" s="44" t="s">
        <v>158</v>
      </c>
      <c r="D1419" s="45" t="str">
        <f aca="true">OFFSET(plates!$B$146,CODE(LEFT(B1419,1))-64,-1)&amp;"-"&amp;OFFSET(plates!$B$106,-1,MID(B1419,2,3)+0)</f>
        <v>bc418-bc508</v>
      </c>
      <c r="E1419" s="46" t="str">
        <f aca="true">OFFSET(plates!$B$146,CODE(LEFT(B1419,1))-64,MID(B1419,2,3)+0)&amp;""</f>
        <v/>
      </c>
      <c r="F1419" s="46"/>
      <c r="G1419" s="47"/>
      <c r="H1419" s="47"/>
    </row>
    <row r="1420" customFormat="false" ht="12.8" hidden="false" customHeight="false" outlineLevel="0" collapsed="false">
      <c r="A1420" s="44" t="n">
        <v>15</v>
      </c>
      <c r="B1420" s="44" t="s">
        <v>232</v>
      </c>
      <c r="C1420" s="44" t="s">
        <v>158</v>
      </c>
      <c r="D1420" s="45" t="str">
        <f aca="true">OFFSET(plates!$B$146,CODE(LEFT(B1420,1))-64,-1)&amp;"-"&amp;OFFSET(plates!$B$106,-1,MID(B1420,2,3)+0)</f>
        <v>bc449-bc508</v>
      </c>
      <c r="E1420" s="46" t="str">
        <f aca="true">OFFSET(plates!$B$146,CODE(LEFT(B1420,1))-64,MID(B1420,2,3)+0)&amp;""</f>
        <v/>
      </c>
      <c r="F1420" s="46"/>
      <c r="G1420" s="47"/>
      <c r="H1420" s="47"/>
    </row>
    <row r="1421" s="48" customFormat="true" ht="12.8" hidden="false" customHeight="false" outlineLevel="0" collapsed="false">
      <c r="A1421" s="44" t="n">
        <v>15</v>
      </c>
      <c r="B1421" s="44" t="s">
        <v>233</v>
      </c>
      <c r="C1421" s="44" t="s">
        <v>158</v>
      </c>
      <c r="D1421" s="45" t="str">
        <f aca="true">OFFSET(plates!$B$146,CODE(LEFT(B1421,1))-64,-1)&amp;"-"&amp;OFFSET(plates!$B$106,-1,MID(B1421,2,3)+0)</f>
        <v>bc462-bc508</v>
      </c>
      <c r="E1421" s="46" t="str">
        <f aca="true">OFFSET(plates!$B$146,CODE(LEFT(B1421,1))-64,MID(B1421,2,3)+0)&amp;""</f>
        <v/>
      </c>
      <c r="F1421" s="46"/>
      <c r="G1421" s="47"/>
      <c r="H1421" s="47"/>
      <c r="I1421" s="36"/>
      <c r="J1421" s="36"/>
      <c r="K1421" s="36"/>
      <c r="L1421" s="36"/>
      <c r="M1421" s="36"/>
    </row>
    <row r="1422" customFormat="false" ht="12.8" hidden="false" customHeight="false" outlineLevel="0" collapsed="false">
      <c r="A1422" s="44" t="n">
        <v>15</v>
      </c>
      <c r="B1422" s="44" t="s">
        <v>234</v>
      </c>
      <c r="C1422" s="44" t="s">
        <v>158</v>
      </c>
      <c r="D1422" s="45" t="str">
        <f aca="true">OFFSET(plates!$B$146,CODE(LEFT(B1422,1))-64,-1)&amp;"-"&amp;OFFSET(plates!$B$106,-1,MID(B1422,2,3)+0)</f>
        <v>bc485-bc508</v>
      </c>
      <c r="E1422" s="46" t="str">
        <f aca="true">OFFSET(plates!$B$146,CODE(LEFT(B1422,1))-64,MID(B1422,2,3)+0)&amp;""</f>
        <v/>
      </c>
      <c r="F1422" s="46"/>
      <c r="G1422" s="47"/>
      <c r="H1422" s="47"/>
    </row>
    <row r="1423" customFormat="false" ht="12.8" hidden="false" customHeight="false" outlineLevel="0" collapsed="false">
      <c r="A1423" s="44" t="n">
        <v>15</v>
      </c>
      <c r="B1423" s="44" t="s">
        <v>235</v>
      </c>
      <c r="C1423" s="44" t="s">
        <v>158</v>
      </c>
      <c r="D1423" s="45" t="str">
        <f aca="true">OFFSET(plates!$B$146,CODE(LEFT(B1423,1))-64,-1)&amp;"-"&amp;OFFSET(plates!$B$106,-1,MID(B1423,2,3)+0)</f>
        <v>bc486-bc508</v>
      </c>
      <c r="E1423" s="46" t="str">
        <f aca="true">OFFSET(plates!$B$146,CODE(LEFT(B1423,1))-64,MID(B1423,2,3)+0)&amp;""</f>
        <v/>
      </c>
      <c r="F1423" s="46"/>
      <c r="G1423" s="47"/>
      <c r="H1423" s="47"/>
    </row>
    <row r="1424" customFormat="false" ht="12.8" hidden="false" customHeight="false" outlineLevel="0" collapsed="false">
      <c r="A1424" s="44" t="n">
        <v>15</v>
      </c>
      <c r="B1424" s="44" t="s">
        <v>236</v>
      </c>
      <c r="C1424" s="44" t="s">
        <v>158</v>
      </c>
      <c r="D1424" s="45" t="str">
        <f aca="true">OFFSET(plates!$B$146,CODE(LEFT(B1424,1))-64,-1)&amp;"-"&amp;OFFSET(plates!$B$106,-1,MID(B1424,2,3)+0)</f>
        <v>bc494-bc508</v>
      </c>
      <c r="E1424" s="46" t="str">
        <f aca="true">OFFSET(plates!$B$146,CODE(LEFT(B1424,1))-64,MID(B1424,2,3)+0)&amp;""</f>
        <v/>
      </c>
      <c r="F1424" s="46"/>
      <c r="G1424" s="47"/>
      <c r="H1424" s="47"/>
    </row>
    <row r="1425" customFormat="false" ht="12.8" hidden="false" customHeight="false" outlineLevel="0" collapsed="false">
      <c r="A1425" s="44" t="n">
        <v>15</v>
      </c>
      <c r="B1425" s="44" t="s">
        <v>237</v>
      </c>
      <c r="C1425" s="44" t="s">
        <v>158</v>
      </c>
      <c r="D1425" s="45" t="str">
        <f aca="true">OFFSET(plates!$B$146,CODE(LEFT(B1425,1))-64,-1)&amp;"-"&amp;OFFSET(plates!$B$106,-1,MID(B1425,2,3)+0)</f>
        <v>bc538-bc508</v>
      </c>
      <c r="E1425" s="46" t="str">
        <f aca="true">OFFSET(plates!$B$146,CODE(LEFT(B1425,1))-64,MID(B1425,2,3)+0)&amp;""</f>
        <v/>
      </c>
      <c r="F1425" s="46"/>
      <c r="G1425" s="47"/>
      <c r="H1425" s="47"/>
    </row>
    <row r="1426" customFormat="false" ht="12.8" hidden="false" customHeight="false" outlineLevel="0" collapsed="false">
      <c r="A1426" s="44" t="n">
        <v>15</v>
      </c>
      <c r="B1426" s="44" t="s">
        <v>238</v>
      </c>
      <c r="C1426" s="44" t="s">
        <v>158</v>
      </c>
      <c r="D1426" s="45" t="str">
        <f aca="true">OFFSET(plates!$B$146,CODE(LEFT(B1426,1))-64,-1)&amp;"-"&amp;OFFSET(plates!$B$106,-1,MID(B1426,2,3)+0)</f>
        <v>bc411-bc516</v>
      </c>
      <c r="E1426" s="46" t="str">
        <f aca="true">OFFSET(plates!$B$146,CODE(LEFT(B1426,1))-64,MID(B1426,2,3)+0)&amp;""</f>
        <v/>
      </c>
      <c r="F1426" s="46"/>
      <c r="G1426" s="47"/>
      <c r="H1426" s="47"/>
    </row>
    <row r="1427" customFormat="false" ht="12.8" hidden="false" customHeight="false" outlineLevel="0" collapsed="false">
      <c r="A1427" s="44" t="n">
        <v>15</v>
      </c>
      <c r="B1427" s="44" t="s">
        <v>239</v>
      </c>
      <c r="C1427" s="44" t="s">
        <v>158</v>
      </c>
      <c r="D1427" s="45" t="str">
        <f aca="true">OFFSET(plates!$B$146,CODE(LEFT(B1427,1))-64,-1)&amp;"-"&amp;OFFSET(plates!$B$106,-1,MID(B1427,2,3)+0)</f>
        <v>bc418-bc516</v>
      </c>
      <c r="E1427" s="46" t="str">
        <f aca="true">OFFSET(plates!$B$146,CODE(LEFT(B1427,1))-64,MID(B1427,2,3)+0)&amp;""</f>
        <v/>
      </c>
      <c r="F1427" s="46"/>
      <c r="G1427" s="47"/>
      <c r="H1427" s="47"/>
    </row>
    <row r="1428" customFormat="false" ht="12.8" hidden="false" customHeight="false" outlineLevel="0" collapsed="false">
      <c r="A1428" s="44" t="n">
        <v>15</v>
      </c>
      <c r="B1428" s="44" t="s">
        <v>240</v>
      </c>
      <c r="C1428" s="44" t="s">
        <v>158</v>
      </c>
      <c r="D1428" s="45" t="str">
        <f aca="true">OFFSET(plates!$B$146,CODE(LEFT(B1428,1))-64,-1)&amp;"-"&amp;OFFSET(plates!$B$106,-1,MID(B1428,2,3)+0)</f>
        <v>bc449-bc516</v>
      </c>
      <c r="E1428" s="46" t="str">
        <f aca="true">OFFSET(plates!$B$146,CODE(LEFT(B1428,1))-64,MID(B1428,2,3)+0)&amp;""</f>
        <v/>
      </c>
      <c r="F1428" s="46"/>
      <c r="G1428" s="47"/>
      <c r="H1428" s="47"/>
    </row>
    <row r="1429" customFormat="false" ht="12.8" hidden="false" customHeight="false" outlineLevel="0" collapsed="false">
      <c r="A1429" s="44" t="n">
        <v>15</v>
      </c>
      <c r="B1429" s="44" t="s">
        <v>241</v>
      </c>
      <c r="C1429" s="44" t="s">
        <v>158</v>
      </c>
      <c r="D1429" s="45" t="str">
        <f aca="true">OFFSET(plates!$B$146,CODE(LEFT(B1429,1))-64,-1)&amp;"-"&amp;OFFSET(plates!$B$106,-1,MID(B1429,2,3)+0)</f>
        <v>bc462-bc516</v>
      </c>
      <c r="E1429" s="46" t="str">
        <f aca="true">OFFSET(plates!$B$146,CODE(LEFT(B1429,1))-64,MID(B1429,2,3)+0)&amp;""</f>
        <v/>
      </c>
      <c r="F1429" s="46"/>
      <c r="G1429" s="47"/>
      <c r="H1429" s="47"/>
    </row>
    <row r="1430" customFormat="false" ht="12.8" hidden="false" customHeight="false" outlineLevel="0" collapsed="false">
      <c r="A1430" s="44" t="n">
        <v>15</v>
      </c>
      <c r="B1430" s="44" t="s">
        <v>242</v>
      </c>
      <c r="C1430" s="44" t="s">
        <v>158</v>
      </c>
      <c r="D1430" s="45" t="str">
        <f aca="true">OFFSET(plates!$B$146,CODE(LEFT(B1430,1))-64,-1)&amp;"-"&amp;OFFSET(plates!$B$106,-1,MID(B1430,2,3)+0)</f>
        <v>bc485-bc516</v>
      </c>
      <c r="E1430" s="46" t="str">
        <f aca="true">OFFSET(plates!$B$146,CODE(LEFT(B1430,1))-64,MID(B1430,2,3)+0)&amp;""</f>
        <v/>
      </c>
      <c r="F1430" s="46"/>
      <c r="G1430" s="47"/>
      <c r="H1430" s="47"/>
    </row>
    <row r="1431" customFormat="false" ht="12.8" hidden="false" customHeight="false" outlineLevel="0" collapsed="false">
      <c r="A1431" s="44" t="n">
        <v>15</v>
      </c>
      <c r="B1431" s="44" t="s">
        <v>243</v>
      </c>
      <c r="C1431" s="44" t="s">
        <v>158</v>
      </c>
      <c r="D1431" s="45" t="str">
        <f aca="true">OFFSET(plates!$B$146,CODE(LEFT(B1431,1))-64,-1)&amp;"-"&amp;OFFSET(plates!$B$106,-1,MID(B1431,2,3)+0)</f>
        <v>bc486-bc516</v>
      </c>
      <c r="E1431" s="46" t="str">
        <f aca="true">OFFSET(plates!$B$146,CODE(LEFT(B1431,1))-64,MID(B1431,2,3)+0)&amp;""</f>
        <v/>
      </c>
      <c r="F1431" s="46"/>
      <c r="G1431" s="47"/>
      <c r="H1431" s="47"/>
    </row>
    <row r="1432" customFormat="false" ht="12.8" hidden="false" customHeight="false" outlineLevel="0" collapsed="false">
      <c r="A1432" s="44" t="n">
        <v>15</v>
      </c>
      <c r="B1432" s="44" t="s">
        <v>244</v>
      </c>
      <c r="C1432" s="44" t="s">
        <v>158</v>
      </c>
      <c r="D1432" s="45" t="str">
        <f aca="true">OFFSET(plates!$B$146,CODE(LEFT(B1432,1))-64,-1)&amp;"-"&amp;OFFSET(plates!$B$106,-1,MID(B1432,2,3)+0)</f>
        <v>bc494-bc516</v>
      </c>
      <c r="E1432" s="46" t="str">
        <f aca="true">OFFSET(plates!$B$146,CODE(LEFT(B1432,1))-64,MID(B1432,2,3)+0)&amp;""</f>
        <v/>
      </c>
      <c r="F1432" s="46"/>
      <c r="G1432" s="47"/>
      <c r="H1432" s="47"/>
    </row>
    <row r="1433" customFormat="false" ht="12.8" hidden="false" customHeight="false" outlineLevel="0" collapsed="false">
      <c r="A1433" s="44" t="n">
        <v>15</v>
      </c>
      <c r="B1433" s="44" t="s">
        <v>245</v>
      </c>
      <c r="C1433" s="44" t="s">
        <v>158</v>
      </c>
      <c r="D1433" s="45" t="str">
        <f aca="true">OFFSET(plates!$B$146,CODE(LEFT(B1433,1))-64,-1)&amp;"-"&amp;OFFSET(plates!$B$106,-1,MID(B1433,2,3)+0)</f>
        <v>bc538-bc516</v>
      </c>
      <c r="E1433" s="46" t="str">
        <f aca="true">OFFSET(plates!$B$146,CODE(LEFT(B1433,1))-64,MID(B1433,2,3)+0)&amp;""</f>
        <v/>
      </c>
      <c r="F1433" s="46"/>
      <c r="G1433" s="47"/>
      <c r="H1433" s="47"/>
    </row>
    <row r="1434" customFormat="false" ht="12.8" hidden="false" customHeight="false" outlineLevel="0" collapsed="false">
      <c r="A1434" s="44" t="n">
        <v>15</v>
      </c>
      <c r="B1434" s="44" t="s">
        <v>246</v>
      </c>
      <c r="C1434" s="44" t="s">
        <v>158</v>
      </c>
      <c r="D1434" s="45" t="str">
        <f aca="true">OFFSET(plates!$B$146,CODE(LEFT(B1434,1))-64,-1)&amp;"-"&amp;OFFSET(plates!$B$106,-1,MID(B1434,2,3)+0)</f>
        <v>bc411-bc538</v>
      </c>
      <c r="E1434" s="46" t="str">
        <f aca="true">OFFSET(plates!$B$146,CODE(LEFT(B1434,1))-64,MID(B1434,2,3)+0)&amp;""</f>
        <v/>
      </c>
      <c r="F1434" s="46"/>
      <c r="G1434" s="47"/>
      <c r="H1434" s="47"/>
    </row>
    <row r="1435" customFormat="false" ht="12.8" hidden="false" customHeight="false" outlineLevel="0" collapsed="false">
      <c r="A1435" s="44" t="n">
        <v>15</v>
      </c>
      <c r="B1435" s="44" t="s">
        <v>247</v>
      </c>
      <c r="C1435" s="44" t="s">
        <v>158</v>
      </c>
      <c r="D1435" s="45" t="str">
        <f aca="true">OFFSET(plates!$B$146,CODE(LEFT(B1435,1))-64,-1)&amp;"-"&amp;OFFSET(plates!$B$106,-1,MID(B1435,2,3)+0)</f>
        <v>bc418-bc538</v>
      </c>
      <c r="E1435" s="46" t="str">
        <f aca="true">OFFSET(plates!$B$146,CODE(LEFT(B1435,1))-64,MID(B1435,2,3)+0)&amp;""</f>
        <v/>
      </c>
      <c r="F1435" s="46"/>
      <c r="G1435" s="47"/>
      <c r="H1435" s="47"/>
    </row>
    <row r="1436" customFormat="false" ht="12.8" hidden="false" customHeight="false" outlineLevel="0" collapsed="false">
      <c r="A1436" s="44" t="n">
        <v>15</v>
      </c>
      <c r="B1436" s="44" t="s">
        <v>248</v>
      </c>
      <c r="C1436" s="44" t="s">
        <v>158</v>
      </c>
      <c r="D1436" s="45" t="str">
        <f aca="true">OFFSET(plates!$B$146,CODE(LEFT(B1436,1))-64,-1)&amp;"-"&amp;OFFSET(plates!$B$106,-1,MID(B1436,2,3)+0)</f>
        <v>bc449-bc538</v>
      </c>
      <c r="E1436" s="46" t="str">
        <f aca="true">OFFSET(plates!$B$146,CODE(LEFT(B1436,1))-64,MID(B1436,2,3)+0)&amp;""</f>
        <v/>
      </c>
      <c r="F1436" s="46"/>
      <c r="G1436" s="47"/>
      <c r="H1436" s="47"/>
    </row>
    <row r="1437" customFormat="false" ht="12.8" hidden="false" customHeight="false" outlineLevel="0" collapsed="false">
      <c r="A1437" s="44" t="n">
        <v>15</v>
      </c>
      <c r="B1437" s="44" t="s">
        <v>249</v>
      </c>
      <c r="C1437" s="44" t="s">
        <v>158</v>
      </c>
      <c r="D1437" s="45" t="str">
        <f aca="true">OFFSET(plates!$B$146,CODE(LEFT(B1437,1))-64,-1)&amp;"-"&amp;OFFSET(plates!$B$106,-1,MID(B1437,2,3)+0)</f>
        <v>bc462-bc538</v>
      </c>
      <c r="E1437" s="46" t="str">
        <f aca="true">OFFSET(plates!$B$146,CODE(LEFT(B1437,1))-64,MID(B1437,2,3)+0)&amp;""</f>
        <v/>
      </c>
      <c r="F1437" s="46"/>
      <c r="G1437" s="47"/>
      <c r="H1437" s="47"/>
    </row>
    <row r="1438" customFormat="false" ht="12.8" hidden="false" customHeight="false" outlineLevel="0" collapsed="false">
      <c r="A1438" s="44" t="n">
        <v>15</v>
      </c>
      <c r="B1438" s="44" t="s">
        <v>250</v>
      </c>
      <c r="C1438" s="44" t="s">
        <v>158</v>
      </c>
      <c r="D1438" s="45" t="str">
        <f aca="true">OFFSET(plates!$B$146,CODE(LEFT(B1438,1))-64,-1)&amp;"-"&amp;OFFSET(plates!$B$106,-1,MID(B1438,2,3)+0)</f>
        <v>bc485-bc538</v>
      </c>
      <c r="E1438" s="46" t="str">
        <f aca="true">OFFSET(plates!$B$146,CODE(LEFT(B1438,1))-64,MID(B1438,2,3)+0)&amp;""</f>
        <v/>
      </c>
      <c r="F1438" s="46"/>
      <c r="G1438" s="47"/>
      <c r="H1438" s="47"/>
    </row>
    <row r="1439" customFormat="false" ht="12.8" hidden="false" customHeight="false" outlineLevel="0" collapsed="false">
      <c r="A1439" s="44" t="n">
        <v>15</v>
      </c>
      <c r="B1439" s="44" t="s">
        <v>251</v>
      </c>
      <c r="C1439" s="44" t="s">
        <v>158</v>
      </c>
      <c r="D1439" s="45" t="str">
        <f aca="true">OFFSET(plates!$B$146,CODE(LEFT(B1439,1))-64,-1)&amp;"-"&amp;OFFSET(plates!$B$106,-1,MID(B1439,2,3)+0)</f>
        <v>bc486-bc538</v>
      </c>
      <c r="E1439" s="46" t="str">
        <f aca="true">OFFSET(plates!$B$146,CODE(LEFT(B1439,1))-64,MID(B1439,2,3)+0)&amp;""</f>
        <v/>
      </c>
      <c r="F1439" s="46"/>
      <c r="G1439" s="47"/>
      <c r="H1439" s="47"/>
      <c r="I1439" s="36"/>
      <c r="J1439" s="36"/>
      <c r="K1439" s="36"/>
      <c r="L1439" s="36"/>
      <c r="M1439" s="36"/>
    </row>
    <row r="1440" customFormat="false" ht="12.8" hidden="false" customHeight="false" outlineLevel="0" collapsed="false">
      <c r="A1440" s="44" t="n">
        <v>15</v>
      </c>
      <c r="B1440" s="44" t="s">
        <v>252</v>
      </c>
      <c r="C1440" s="44" t="s">
        <v>158</v>
      </c>
      <c r="D1440" s="45" t="str">
        <f aca="true">OFFSET(plates!$B$146,CODE(LEFT(B1440,1))-64,-1)&amp;"-"&amp;OFFSET(plates!$B$106,-1,MID(B1440,2,3)+0)</f>
        <v>bc494-bc538</v>
      </c>
      <c r="E1440" s="46" t="str">
        <f aca="true">OFFSET(plates!$B$146,CODE(LEFT(B1440,1))-64,MID(B1440,2,3)+0)&amp;""</f>
        <v/>
      </c>
      <c r="F1440" s="46"/>
      <c r="G1440" s="47"/>
      <c r="H1440" s="47"/>
    </row>
    <row r="1441" customFormat="false" ht="12.8" hidden="false" customHeight="false" outlineLevel="0" collapsed="false">
      <c r="A1441" s="44" t="n">
        <v>15</v>
      </c>
      <c r="B1441" s="44" t="s">
        <v>253</v>
      </c>
      <c r="C1441" s="44" t="s">
        <v>158</v>
      </c>
      <c r="D1441" s="45" t="str">
        <f aca="true">OFFSET(plates!$B$146,CODE(LEFT(B1441,1))-64,-1)&amp;"-"&amp;OFFSET(plates!$B$106,-1,MID(B1441,2,3)+0)</f>
        <v>bc538-bc538</v>
      </c>
      <c r="E1441" s="46" t="str">
        <f aca="true">OFFSET(plates!$B$146,CODE(LEFT(B1441,1))-64,MID(B1441,2,3)+0)&amp;""</f>
        <v/>
      </c>
      <c r="F1441" s="46"/>
      <c r="G1441" s="47"/>
      <c r="H1441" s="47"/>
      <c r="I1441" s="36"/>
      <c r="J1441" s="36"/>
      <c r="K1441" s="3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19E"/>
    <pageSetUpPr fitToPage="false"/>
  </sheetPr>
  <dimension ref="A1:C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36" width="15.85"/>
    <col collapsed="false" customWidth="true" hidden="false" outlineLevel="0" max="2" min="2" style="36" width="18.41"/>
    <col collapsed="false" customWidth="true" hidden="false" outlineLevel="0" max="3" min="3" style="36" width="29.77"/>
  </cols>
  <sheetData>
    <row r="1" customFormat="false" ht="12.8" hidden="false" customHeight="false" outlineLevel="0" collapsed="false">
      <c r="A1" s="40" t="s">
        <v>254</v>
      </c>
      <c r="B1" s="40" t="s">
        <v>255</v>
      </c>
      <c r="C1" s="40" t="s">
        <v>256</v>
      </c>
    </row>
    <row r="2" customFormat="false" ht="12.8" hidden="false" customHeight="false" outlineLevel="0" collapsed="false">
      <c r="A2" s="44" t="s">
        <v>257</v>
      </c>
      <c r="B2" s="44" t="s">
        <v>258</v>
      </c>
      <c r="C2" s="44" t="s">
        <v>259</v>
      </c>
    </row>
    <row r="3" customFormat="false" ht="12.8" hidden="false" customHeight="false" outlineLevel="0" collapsed="false">
      <c r="A3" s="44" t="s">
        <v>260</v>
      </c>
      <c r="B3" s="44" t="s">
        <v>261</v>
      </c>
      <c r="C3" s="44" t="s">
        <v>259</v>
      </c>
    </row>
    <row r="4" customFormat="false" ht="12.8" hidden="false" customHeight="false" outlineLevel="0" collapsed="false">
      <c r="A4" s="44" t="s">
        <v>262</v>
      </c>
      <c r="B4" s="44" t="s">
        <v>263</v>
      </c>
      <c r="C4" s="44" t="s">
        <v>259</v>
      </c>
    </row>
    <row r="5" customFormat="false" ht="12.8" hidden="false" customHeight="false" outlineLevel="0" collapsed="false">
      <c r="A5" s="44" t="s">
        <v>264</v>
      </c>
      <c r="B5" s="44" t="s">
        <v>265</v>
      </c>
      <c r="C5" s="44" t="s">
        <v>259</v>
      </c>
    </row>
    <row r="6" customFormat="false" ht="12.8" hidden="false" customHeight="false" outlineLevel="0" collapsed="false">
      <c r="A6" s="44" t="s">
        <v>266</v>
      </c>
      <c r="B6" s="44" t="s">
        <v>267</v>
      </c>
      <c r="C6" s="44" t="s">
        <v>259</v>
      </c>
    </row>
    <row r="7" customFormat="false" ht="12.8" hidden="false" customHeight="false" outlineLevel="0" collapsed="false">
      <c r="A7" s="44" t="s">
        <v>268</v>
      </c>
      <c r="B7" s="44" t="s">
        <v>269</v>
      </c>
      <c r="C7" s="44" t="s">
        <v>259</v>
      </c>
    </row>
    <row r="8" customFormat="false" ht="12.8" hidden="false" customHeight="false" outlineLevel="0" collapsed="false">
      <c r="A8" s="44" t="s">
        <v>270</v>
      </c>
      <c r="B8" s="44" t="s">
        <v>271</v>
      </c>
      <c r="C8" s="44" t="s">
        <v>259</v>
      </c>
    </row>
    <row r="9" customFormat="false" ht="12.8" hidden="false" customHeight="false" outlineLevel="0" collapsed="false">
      <c r="A9" s="44" t="s">
        <v>272</v>
      </c>
      <c r="B9" s="44" t="s">
        <v>273</v>
      </c>
      <c r="C9" s="44" t="s">
        <v>259</v>
      </c>
    </row>
    <row r="10" customFormat="false" ht="12.8" hidden="false" customHeight="false" outlineLevel="0" collapsed="false">
      <c r="A10" s="44" t="s">
        <v>274</v>
      </c>
      <c r="B10" s="44" t="s">
        <v>275</v>
      </c>
      <c r="C10" s="44" t="s">
        <v>259</v>
      </c>
    </row>
    <row r="11" customFormat="false" ht="12.8" hidden="false" customHeight="false" outlineLevel="0" collapsed="false">
      <c r="A11" s="44" t="s">
        <v>276</v>
      </c>
      <c r="B11" s="44" t="s">
        <v>277</v>
      </c>
      <c r="C11" s="44" t="s">
        <v>259</v>
      </c>
    </row>
    <row r="12" customFormat="false" ht="12.8" hidden="false" customHeight="false" outlineLevel="0" collapsed="false">
      <c r="A12" s="44" t="s">
        <v>278</v>
      </c>
      <c r="B12" s="44" t="s">
        <v>279</v>
      </c>
      <c r="C12" s="44" t="s">
        <v>259</v>
      </c>
    </row>
    <row r="13" customFormat="false" ht="12.8" hidden="false" customHeight="false" outlineLevel="0" collapsed="false">
      <c r="A13" s="44" t="s">
        <v>280</v>
      </c>
      <c r="B13" s="44" t="s">
        <v>281</v>
      </c>
      <c r="C13" s="44" t="s">
        <v>259</v>
      </c>
    </row>
    <row r="14" customFormat="false" ht="12.8" hidden="false" customHeight="false" outlineLevel="0" collapsed="false">
      <c r="A14" s="44" t="s">
        <v>282</v>
      </c>
      <c r="B14" s="44" t="s">
        <v>283</v>
      </c>
      <c r="C14" s="44" t="s">
        <v>259</v>
      </c>
    </row>
    <row r="15" customFormat="false" ht="12.8" hidden="false" customHeight="false" outlineLevel="0" collapsed="false">
      <c r="A15" s="44" t="s">
        <v>284</v>
      </c>
      <c r="B15" s="44" t="s">
        <v>285</v>
      </c>
      <c r="C15" s="44" t="s">
        <v>259</v>
      </c>
    </row>
    <row r="16" customFormat="false" ht="12.8" hidden="false" customHeight="false" outlineLevel="0" collapsed="false">
      <c r="A16" s="44" t="s">
        <v>286</v>
      </c>
      <c r="B16" s="44" t="s">
        <v>287</v>
      </c>
      <c r="C16" s="44" t="s">
        <v>259</v>
      </c>
    </row>
    <row r="17" customFormat="false" ht="12.8" hidden="false" customHeight="false" outlineLevel="0" collapsed="false">
      <c r="A17" s="44" t="s">
        <v>288</v>
      </c>
      <c r="B17" s="44" t="s">
        <v>289</v>
      </c>
      <c r="C17" s="44" t="s">
        <v>259</v>
      </c>
    </row>
    <row r="18" customFormat="false" ht="12.8" hidden="false" customHeight="false" outlineLevel="0" collapsed="false">
      <c r="A18" s="44" t="s">
        <v>290</v>
      </c>
      <c r="B18" s="44" t="s">
        <v>291</v>
      </c>
      <c r="C18" s="44" t="s">
        <v>259</v>
      </c>
    </row>
    <row r="19" customFormat="false" ht="12.8" hidden="false" customHeight="false" outlineLevel="0" collapsed="false">
      <c r="A19" s="44" t="s">
        <v>292</v>
      </c>
      <c r="B19" s="44" t="s">
        <v>293</v>
      </c>
      <c r="C19" s="44" t="s">
        <v>259</v>
      </c>
    </row>
    <row r="20" customFormat="false" ht="12.8" hidden="false" customHeight="false" outlineLevel="0" collapsed="false">
      <c r="A20" s="44" t="s">
        <v>294</v>
      </c>
      <c r="B20" s="44" t="s">
        <v>295</v>
      </c>
      <c r="C20" s="44" t="s">
        <v>259</v>
      </c>
    </row>
    <row r="21" customFormat="false" ht="12.8" hidden="false" customHeight="false" outlineLevel="0" collapsed="false">
      <c r="A21" s="44" t="s">
        <v>296</v>
      </c>
      <c r="B21" s="44" t="s">
        <v>297</v>
      </c>
      <c r="C21" s="44" t="s">
        <v>259</v>
      </c>
    </row>
    <row r="22" customFormat="false" ht="12.8" hidden="false" customHeight="false" outlineLevel="0" collapsed="false">
      <c r="A22" s="44" t="s">
        <v>298</v>
      </c>
      <c r="B22" s="44" t="s">
        <v>299</v>
      </c>
      <c r="C22" s="44" t="s">
        <v>259</v>
      </c>
    </row>
    <row r="23" customFormat="false" ht="12.8" hidden="false" customHeight="false" outlineLevel="0" collapsed="false">
      <c r="A23" s="44" t="s">
        <v>300</v>
      </c>
      <c r="B23" s="44" t="s">
        <v>301</v>
      </c>
      <c r="C23" s="44" t="s">
        <v>259</v>
      </c>
    </row>
    <row r="24" customFormat="false" ht="12.8" hidden="false" customHeight="false" outlineLevel="0" collapsed="false">
      <c r="A24" s="44" t="s">
        <v>302</v>
      </c>
      <c r="B24" s="44" t="s">
        <v>303</v>
      </c>
      <c r="C24" s="44" t="s">
        <v>259</v>
      </c>
    </row>
    <row r="25" customFormat="false" ht="12.8" hidden="false" customHeight="false" outlineLevel="0" collapsed="false">
      <c r="A25" s="44" t="s">
        <v>304</v>
      </c>
      <c r="B25" s="44" t="s">
        <v>305</v>
      </c>
      <c r="C25" s="44" t="s">
        <v>259</v>
      </c>
    </row>
    <row r="26" customFormat="false" ht="12.8" hidden="false" customHeight="false" outlineLevel="0" collapsed="false">
      <c r="A26" s="44" t="s">
        <v>306</v>
      </c>
      <c r="B26" s="44" t="s">
        <v>307</v>
      </c>
      <c r="C26" s="44" t="s">
        <v>259</v>
      </c>
    </row>
    <row r="27" customFormat="false" ht="12.8" hidden="false" customHeight="false" outlineLevel="0" collapsed="false">
      <c r="A27" s="44" t="s">
        <v>308</v>
      </c>
      <c r="B27" s="44" t="s">
        <v>309</v>
      </c>
      <c r="C27" s="44" t="s">
        <v>259</v>
      </c>
    </row>
    <row r="28" customFormat="false" ht="12.8" hidden="false" customHeight="false" outlineLevel="0" collapsed="false">
      <c r="A28" s="44" t="s">
        <v>310</v>
      </c>
      <c r="B28" s="44" t="s">
        <v>311</v>
      </c>
      <c r="C28" s="44" t="s">
        <v>259</v>
      </c>
    </row>
    <row r="29" customFormat="false" ht="12.8" hidden="false" customHeight="false" outlineLevel="0" collapsed="false">
      <c r="A29" s="44" t="s">
        <v>312</v>
      </c>
      <c r="B29" s="44" t="s">
        <v>313</v>
      </c>
      <c r="C29" s="44" t="s">
        <v>259</v>
      </c>
    </row>
    <row r="30" customFormat="false" ht="12.8" hidden="false" customHeight="false" outlineLevel="0" collapsed="false">
      <c r="A30" s="44" t="s">
        <v>314</v>
      </c>
      <c r="B30" s="44" t="s">
        <v>315</v>
      </c>
      <c r="C30" s="44" t="s">
        <v>259</v>
      </c>
    </row>
    <row r="31" customFormat="false" ht="12.8" hidden="false" customHeight="false" outlineLevel="0" collapsed="false">
      <c r="A31" s="44" t="s">
        <v>316</v>
      </c>
      <c r="B31" s="44" t="s">
        <v>317</v>
      </c>
      <c r="C31" s="44" t="s">
        <v>259</v>
      </c>
    </row>
    <row r="32" customFormat="false" ht="12.8" hidden="false" customHeight="false" outlineLevel="0" collapsed="false">
      <c r="A32" s="44" t="s">
        <v>318</v>
      </c>
      <c r="B32" s="44" t="s">
        <v>319</v>
      </c>
      <c r="C32" s="44" t="s">
        <v>259</v>
      </c>
    </row>
    <row r="33" customFormat="false" ht="12.8" hidden="false" customHeight="false" outlineLevel="0" collapsed="false">
      <c r="A33" s="44" t="s">
        <v>320</v>
      </c>
      <c r="B33" s="44" t="s">
        <v>321</v>
      </c>
      <c r="C33" s="44" t="s">
        <v>259</v>
      </c>
    </row>
    <row r="34" customFormat="false" ht="12.8" hidden="false" customHeight="false" outlineLevel="0" collapsed="false">
      <c r="A34" s="44" t="s">
        <v>322</v>
      </c>
      <c r="B34" s="44" t="s">
        <v>323</v>
      </c>
      <c r="C34" s="44" t="s">
        <v>259</v>
      </c>
    </row>
    <row r="35" customFormat="false" ht="12.8" hidden="false" customHeight="false" outlineLevel="0" collapsed="false">
      <c r="A35" s="44" t="s">
        <v>324</v>
      </c>
      <c r="B35" s="44" t="s">
        <v>325</v>
      </c>
      <c r="C35" s="44" t="s">
        <v>259</v>
      </c>
    </row>
    <row r="36" customFormat="false" ht="12.8" hidden="false" customHeight="false" outlineLevel="0" collapsed="false">
      <c r="A36" s="44" t="s">
        <v>326</v>
      </c>
      <c r="B36" s="44" t="s">
        <v>327</v>
      </c>
      <c r="C36" s="44" t="s">
        <v>259</v>
      </c>
    </row>
    <row r="37" customFormat="false" ht="12.8" hidden="false" customHeight="false" outlineLevel="0" collapsed="false">
      <c r="A37" s="44" t="s">
        <v>328</v>
      </c>
      <c r="B37" s="44" t="s">
        <v>329</v>
      </c>
      <c r="C37" s="44" t="s">
        <v>259</v>
      </c>
    </row>
    <row r="38" customFormat="false" ht="12.8" hidden="false" customHeight="false" outlineLevel="0" collapsed="false">
      <c r="A38" s="44" t="s">
        <v>330</v>
      </c>
      <c r="B38" s="44" t="s">
        <v>331</v>
      </c>
      <c r="C38" s="44" t="s">
        <v>259</v>
      </c>
    </row>
    <row r="39" customFormat="false" ht="12.8" hidden="false" customHeight="false" outlineLevel="0" collapsed="false">
      <c r="A39" s="44" t="s">
        <v>332</v>
      </c>
      <c r="B39" s="44" t="s">
        <v>333</v>
      </c>
      <c r="C39" s="44" t="s">
        <v>259</v>
      </c>
    </row>
    <row r="40" customFormat="false" ht="12.8" hidden="false" customHeight="false" outlineLevel="0" collapsed="false">
      <c r="A40" s="44" t="s">
        <v>334</v>
      </c>
      <c r="B40" s="44" t="s">
        <v>335</v>
      </c>
      <c r="C40" s="44" t="s">
        <v>259</v>
      </c>
    </row>
    <row r="41" customFormat="false" ht="12.8" hidden="false" customHeight="false" outlineLevel="0" collapsed="false">
      <c r="A41" s="44" t="s">
        <v>336</v>
      </c>
      <c r="B41" s="44" t="s">
        <v>337</v>
      </c>
      <c r="C41" s="44" t="s">
        <v>259</v>
      </c>
    </row>
    <row r="42" customFormat="false" ht="12.8" hidden="false" customHeight="false" outlineLevel="0" collapsed="false">
      <c r="A42" s="44" t="s">
        <v>338</v>
      </c>
      <c r="B42" s="44" t="s">
        <v>339</v>
      </c>
      <c r="C42" s="44" t="s">
        <v>340</v>
      </c>
    </row>
    <row r="43" customFormat="false" ht="12.8" hidden="false" customHeight="false" outlineLevel="0" collapsed="false">
      <c r="A43" s="44" t="s">
        <v>341</v>
      </c>
      <c r="B43" s="44" t="s">
        <v>265</v>
      </c>
      <c r="C43" s="44" t="s">
        <v>340</v>
      </c>
    </row>
    <row r="44" customFormat="false" ht="12.8" hidden="false" customHeight="false" outlineLevel="0" collapsed="false">
      <c r="A44" s="44" t="s">
        <v>342</v>
      </c>
      <c r="B44" s="44" t="s">
        <v>343</v>
      </c>
      <c r="C44" s="44" t="s">
        <v>340</v>
      </c>
    </row>
    <row r="45" customFormat="false" ht="12.8" hidden="false" customHeight="false" outlineLevel="0" collapsed="false">
      <c r="A45" s="44" t="s">
        <v>344</v>
      </c>
      <c r="B45" s="44" t="s">
        <v>345</v>
      </c>
      <c r="C45" s="44" t="s">
        <v>340</v>
      </c>
    </row>
    <row r="46" customFormat="false" ht="12.8" hidden="false" customHeight="false" outlineLevel="0" collapsed="false">
      <c r="A46" s="44" t="s">
        <v>346</v>
      </c>
      <c r="B46" s="44" t="s">
        <v>347</v>
      </c>
      <c r="C46" s="44" t="s">
        <v>340</v>
      </c>
    </row>
    <row r="47" customFormat="false" ht="12.8" hidden="false" customHeight="false" outlineLevel="0" collapsed="false">
      <c r="A47" s="44" t="s">
        <v>348</v>
      </c>
      <c r="B47" s="44" t="s">
        <v>269</v>
      </c>
      <c r="C47" s="44" t="s">
        <v>340</v>
      </c>
    </row>
    <row r="48" customFormat="false" ht="12.8" hidden="false" customHeight="false" outlineLevel="0" collapsed="false">
      <c r="A48" s="44" t="s">
        <v>349</v>
      </c>
      <c r="B48" s="44" t="s">
        <v>350</v>
      </c>
      <c r="C48" s="44" t="s">
        <v>340</v>
      </c>
    </row>
    <row r="49" customFormat="false" ht="12.8" hidden="false" customHeight="false" outlineLevel="0" collapsed="false">
      <c r="A49" s="44" t="s">
        <v>351</v>
      </c>
      <c r="B49" s="44" t="s">
        <v>352</v>
      </c>
      <c r="C49" s="44" t="s">
        <v>340</v>
      </c>
    </row>
    <row r="50" customFormat="false" ht="12.8" hidden="false" customHeight="false" outlineLevel="0" collapsed="false">
      <c r="A50" s="44" t="s">
        <v>353</v>
      </c>
      <c r="B50" s="44" t="s">
        <v>277</v>
      </c>
      <c r="C50" s="44" t="s">
        <v>340</v>
      </c>
    </row>
    <row r="51" customFormat="false" ht="12.8" hidden="false" customHeight="false" outlineLevel="0" collapsed="false">
      <c r="A51" s="44" t="s">
        <v>354</v>
      </c>
      <c r="B51" s="44" t="s">
        <v>355</v>
      </c>
      <c r="C51" s="44" t="s">
        <v>340</v>
      </c>
    </row>
    <row r="52" customFormat="false" ht="12.8" hidden="false" customHeight="false" outlineLevel="0" collapsed="false">
      <c r="A52" s="44" t="s">
        <v>356</v>
      </c>
      <c r="B52" s="44" t="s">
        <v>283</v>
      </c>
      <c r="C52" s="44" t="s">
        <v>340</v>
      </c>
    </row>
    <row r="53" customFormat="false" ht="12.8" hidden="false" customHeight="false" outlineLevel="0" collapsed="false">
      <c r="A53" s="44" t="s">
        <v>357</v>
      </c>
      <c r="B53" s="44" t="s">
        <v>358</v>
      </c>
      <c r="C53" s="44" t="s">
        <v>340</v>
      </c>
    </row>
    <row r="54" customFormat="false" ht="12.8" hidden="false" customHeight="false" outlineLevel="0" collapsed="false">
      <c r="A54" s="44" t="s">
        <v>359</v>
      </c>
      <c r="B54" s="44" t="s">
        <v>360</v>
      </c>
      <c r="C54" s="44" t="s">
        <v>340</v>
      </c>
    </row>
    <row r="55" customFormat="false" ht="12.8" hidden="false" customHeight="false" outlineLevel="0" collapsed="false">
      <c r="A55" s="44" t="s">
        <v>361</v>
      </c>
      <c r="B55" s="44" t="s">
        <v>297</v>
      </c>
      <c r="C55" s="44" t="s">
        <v>340</v>
      </c>
    </row>
    <row r="56" customFormat="false" ht="12.8" hidden="false" customHeight="false" outlineLevel="0" collapsed="false">
      <c r="A56" s="44" t="s">
        <v>362</v>
      </c>
      <c r="B56" s="44" t="s">
        <v>299</v>
      </c>
      <c r="C56" s="44" t="s">
        <v>340</v>
      </c>
    </row>
    <row r="57" customFormat="false" ht="12.8" hidden="false" customHeight="false" outlineLevel="0" collapsed="false">
      <c r="A57" s="44" t="s">
        <v>363</v>
      </c>
      <c r="B57" s="44" t="s">
        <v>364</v>
      </c>
      <c r="C57" s="44" t="s">
        <v>340</v>
      </c>
    </row>
    <row r="58" customFormat="false" ht="12.8" hidden="false" customHeight="false" outlineLevel="0" collapsed="false">
      <c r="A58" s="44" t="s">
        <v>365</v>
      </c>
      <c r="B58" s="44" t="s">
        <v>301</v>
      </c>
      <c r="C58" s="44" t="s">
        <v>340</v>
      </c>
    </row>
    <row r="59" customFormat="false" ht="12.8" hidden="false" customHeight="false" outlineLevel="0" collapsed="false">
      <c r="A59" s="44" t="s">
        <v>366</v>
      </c>
      <c r="B59" s="44" t="s">
        <v>367</v>
      </c>
      <c r="C59" s="44" t="s">
        <v>340</v>
      </c>
    </row>
    <row r="60" customFormat="false" ht="12.8" hidden="false" customHeight="false" outlineLevel="0" collapsed="false">
      <c r="A60" s="44" t="s">
        <v>368</v>
      </c>
      <c r="B60" s="44" t="s">
        <v>369</v>
      </c>
      <c r="C60" s="44" t="s">
        <v>340</v>
      </c>
    </row>
    <row r="61" customFormat="false" ht="12.8" hidden="false" customHeight="false" outlineLevel="0" collapsed="false">
      <c r="A61" s="44" t="s">
        <v>370</v>
      </c>
      <c r="B61" s="44" t="s">
        <v>317</v>
      </c>
      <c r="C61" s="44" t="s">
        <v>340</v>
      </c>
    </row>
    <row r="62" customFormat="false" ht="12.8" hidden="false" customHeight="false" outlineLevel="0" collapsed="false">
      <c r="A62" s="44" t="s">
        <v>371</v>
      </c>
      <c r="B62" s="44" t="s">
        <v>372</v>
      </c>
      <c r="C62" s="44" t="s">
        <v>340</v>
      </c>
    </row>
    <row r="63" customFormat="false" ht="12.8" hidden="false" customHeight="false" outlineLevel="0" collapsed="false">
      <c r="A63" s="44" t="s">
        <v>373</v>
      </c>
      <c r="B63" s="44" t="s">
        <v>374</v>
      </c>
      <c r="C63" s="44" t="s">
        <v>340</v>
      </c>
    </row>
    <row r="64" customFormat="false" ht="12.8" hidden="false" customHeight="false" outlineLevel="0" collapsed="false">
      <c r="A64" s="44" t="s">
        <v>375</v>
      </c>
      <c r="B64" s="44" t="s">
        <v>376</v>
      </c>
      <c r="C64" s="44" t="s">
        <v>340</v>
      </c>
    </row>
    <row r="65" customFormat="false" ht="12.8" hidden="false" customHeight="false" outlineLevel="0" collapsed="false">
      <c r="A65" s="44" t="s">
        <v>377</v>
      </c>
      <c r="B65" s="44" t="s">
        <v>378</v>
      </c>
      <c r="C65" s="44" t="s">
        <v>340</v>
      </c>
    </row>
    <row r="66" customFormat="false" ht="12.8" hidden="false" customHeight="false" outlineLevel="0" collapsed="false">
      <c r="A66" s="44" t="s">
        <v>379</v>
      </c>
      <c r="B66" s="44" t="s">
        <v>323</v>
      </c>
      <c r="C66" s="44" t="s">
        <v>340</v>
      </c>
    </row>
    <row r="67" customFormat="false" ht="12.8" hidden="false" customHeight="false" outlineLevel="0" collapsed="false">
      <c r="A67" s="44" t="s">
        <v>380</v>
      </c>
      <c r="B67" s="44" t="s">
        <v>381</v>
      </c>
      <c r="C67" s="44" t="s">
        <v>340</v>
      </c>
    </row>
    <row r="68" customFormat="false" ht="12.8" hidden="false" customHeight="false" outlineLevel="0" collapsed="false">
      <c r="A68" s="44" t="s">
        <v>382</v>
      </c>
      <c r="B68" s="44" t="s">
        <v>383</v>
      </c>
      <c r="C68" s="44" t="s">
        <v>340</v>
      </c>
    </row>
    <row r="69" customFormat="false" ht="12.8" hidden="false" customHeight="false" outlineLevel="0" collapsed="false">
      <c r="A69" s="44" t="s">
        <v>384</v>
      </c>
      <c r="B69" s="44" t="s">
        <v>325</v>
      </c>
      <c r="C69" s="44" t="s">
        <v>340</v>
      </c>
    </row>
    <row r="70" customFormat="false" ht="12.8" hidden="false" customHeight="false" outlineLevel="0" collapsed="false">
      <c r="A70" s="44" t="s">
        <v>385</v>
      </c>
      <c r="B70" s="44" t="s">
        <v>386</v>
      </c>
      <c r="C70" s="44" t="s">
        <v>340</v>
      </c>
    </row>
    <row r="71" customFormat="false" ht="12.8" hidden="false" customHeight="false" outlineLevel="0" collapsed="false">
      <c r="A71" s="44" t="s">
        <v>387</v>
      </c>
      <c r="B71" s="44" t="s">
        <v>388</v>
      </c>
      <c r="C71" s="44" t="s">
        <v>340</v>
      </c>
    </row>
    <row r="72" customFormat="false" ht="12.8" hidden="false" customHeight="false" outlineLevel="0" collapsed="false">
      <c r="A72" s="44" t="s">
        <v>389</v>
      </c>
      <c r="B72" s="44" t="s">
        <v>390</v>
      </c>
      <c r="C72" s="44" t="s">
        <v>340</v>
      </c>
    </row>
    <row r="73" customFormat="false" ht="12.8" hidden="false" customHeight="false" outlineLevel="0" collapsed="false">
      <c r="A73" s="44" t="s">
        <v>391</v>
      </c>
      <c r="B73" s="44" t="s">
        <v>392</v>
      </c>
      <c r="C73" s="44" t="s">
        <v>340</v>
      </c>
    </row>
    <row r="74" customFormat="false" ht="12.8" hidden="false" customHeight="false" outlineLevel="0" collapsed="false">
      <c r="A74" s="44" t="s">
        <v>393</v>
      </c>
      <c r="B74" s="44" t="s">
        <v>394</v>
      </c>
      <c r="C74" s="44" t="s">
        <v>340</v>
      </c>
    </row>
    <row r="75" customFormat="false" ht="12.8" hidden="false" customHeight="false" outlineLevel="0" collapsed="false">
      <c r="A75" s="44" t="s">
        <v>395</v>
      </c>
      <c r="B75" s="44" t="s">
        <v>396</v>
      </c>
      <c r="C75" s="44" t="s">
        <v>340</v>
      </c>
    </row>
    <row r="76" customFormat="false" ht="12.8" hidden="false" customHeight="false" outlineLevel="0" collapsed="false">
      <c r="A76" s="44" t="s">
        <v>397</v>
      </c>
      <c r="B76" s="44" t="s">
        <v>398</v>
      </c>
      <c r="C76" s="44" t="s">
        <v>340</v>
      </c>
    </row>
    <row r="77" customFormat="false" ht="12.8" hidden="false" customHeight="false" outlineLevel="0" collapsed="false">
      <c r="A77" s="44" t="s">
        <v>399</v>
      </c>
      <c r="B77" s="44" t="s">
        <v>337</v>
      </c>
      <c r="C77" s="44" t="s">
        <v>340</v>
      </c>
    </row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2025-12-12T14:33:58Z</dcterms:created>
  <dc:creator/>
  <dc:description/>
  <dc:language>de-CH</dc:language>
  <cp:lastModifiedBy/>
  <dcterms:modified xsi:type="dcterms:W3CDTF">2026-01-08T13:46:33Z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